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Organization Intake" sheetId="2" r:id="rId5"/>
    <sheet state="visible" name="Trip Demand Input" sheetId="3" r:id="rId6"/>
    <sheet state="visible" name="Summary Preview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mI6/ueBFdF83UIhOqZB90tiSB4sqcBDtLLpb53t9Ld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These are the preferred metrics to be met in order for RYW to feasibly partner with a external partner.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======
ID#AAAB2tWJskE
Danny Nguyen    (2026-04-08 14:55:27)
Combine into a point of origin (both pick up and drop off)</t>
      </text>
    </comment>
  </commentList>
  <extLst>
    <ext uri="GoogleSheetsCustomDataVersion2">
      <go:sheetsCustomData xmlns:go="http://customooxmlschemas.google.com/" r:id="rId1" roundtripDataSignature="AMtx7mjLwH/cLhE0wvjBYGThtBGEQ0G4H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======
ID#AAAB2tWJskM
Danny Nguyen    (2026-04-08 14:57:54)
Add in trips/vehicle/fleet size needed to accommodate contract</t>
      </text>
    </comment>
  </commentList>
  <extLst>
    <ext uri="GoogleSheetsCustomDataVersion2">
      <go:sheetsCustomData xmlns:go="http://customooxmlschemas.google.com/" r:id="rId1" roundtripDataSignature="AMtx7mjAn8HWHkguL2HmlrSIuG+WGYCbyA=="/>
    </ext>
  </extLst>
</comments>
</file>

<file path=xl/sharedStrings.xml><?xml version="1.0" encoding="utf-8"?>
<sst xmlns="http://schemas.openxmlformats.org/spreadsheetml/2006/main" count="204" uniqueCount="175">
  <si>
    <t>Ride YourWay Prospective Market Intake Template</t>
  </si>
  <si>
    <t>Use this workbook with prospective hospitals, skilled nursing facilities, brokers, health plans, and community organizations. The goal is to collect consistent demand, pricing, and billing-policy information that can be rolled into Ride YourWay's master market-readiness model.</t>
  </si>
  <si>
    <t>How to complete this workbook</t>
  </si>
  <si>
    <t>1. Fill out the blue cells on 'Organization Intake' for one organization / contract.</t>
  </si>
  <si>
    <t>2. On 'Trip Demand Input', enter one row for each distinct trip pattern, program, or service line.</t>
  </si>
  <si>
    <t>3. Use average weekly demand if historical trip-level data is not available.</t>
  </si>
  <si>
    <t>4. Keep completed trips, billable no-shows, and non-billable no-shows separate.</t>
  </si>
  <si>
    <t>5. Leave formulas and gray cells unchanged; they summarize what you entered.</t>
  </si>
  <si>
    <t>Why these inputs matter</t>
  </si>
  <si>
    <t>Trip density &amp; daily pattern</t>
  </si>
  <si>
    <t>Helps estimate whether vehicles can be utilized efficiently across the week.</t>
  </si>
  <si>
    <t>Billable no-show terms</t>
  </si>
  <si>
    <t>Ride YourWay needs to know when canceled or missed trips still generate revenue.</t>
  </si>
  <si>
    <t>Mode mix</t>
  </si>
  <si>
    <t>Wheelchair, Stretcher Alternative, and SecureCare materially affect economics.</t>
  </si>
  <si>
    <t>Quality vs filler / broker volume</t>
  </si>
  <si>
    <t>Predictable quality volume is preferred, but broker fill can improve density.</t>
  </si>
  <si>
    <t>Pricing / reimbursement</t>
  </si>
  <si>
    <t>Revenue thresholds are required to determine whether a market can support launch.</t>
  </si>
  <si>
    <t>Ride YourWay launch-readiness thresholds (reference)</t>
  </si>
  <si>
    <t>Vehicle utilization</t>
  </si>
  <si>
    <t>95%+</t>
  </si>
  <si>
    <t>These thresholds come from Ride YourWay's validated operating criteria. Most of them are calculated in the master model after intake data is combined.</t>
  </si>
  <si>
    <t>Billed utilization</t>
  </si>
  <si>
    <t>105%+</t>
  </si>
  <si>
    <t>Total volume pool</t>
  </si>
  <si>
    <t>120% with proper mix</t>
  </si>
  <si>
    <t>Average revenue per Kent-Leg</t>
  </si>
  <si>
    <t>$70+</t>
  </si>
  <si>
    <t>Higher-acuity share</t>
  </si>
  <si>
    <t>5%+ of volume</t>
  </si>
  <si>
    <t>Road time per vehicle per day</t>
  </si>
  <si>
    <t>9+ hours</t>
  </si>
  <si>
    <t>Single-contract concentration</t>
  </si>
  <si>
    <t>&lt;=20% of volume or revenue</t>
  </si>
  <si>
    <t>Color legend</t>
  </si>
  <si>
    <t>Blue text / light blue cells</t>
  </si>
  <si>
    <t>External input required</t>
  </si>
  <si>
    <t>Black text / light gray cells</t>
  </si>
  <si>
    <t>Formula or auto-calculated summary</t>
  </si>
  <si>
    <t>Orange cells</t>
  </si>
  <si>
    <t>Review or unusual item</t>
  </si>
  <si>
    <t>Gray labels</t>
  </si>
  <si>
    <t>Instructions / static fields</t>
  </si>
  <si>
    <t>Organization / Contract Intake</t>
  </si>
  <si>
    <t>Complete one workbook per prospective organization or contract.</t>
  </si>
  <si>
    <t>Organization details</t>
  </si>
  <si>
    <t>Submission ID</t>
  </si>
  <si>
    <t>Ex-CEO-001</t>
  </si>
  <si>
    <t>Organization name</t>
  </si>
  <si>
    <t>Example MEdical Center</t>
  </si>
  <si>
    <t>Organization Type</t>
  </si>
  <si>
    <t>Hospital</t>
  </si>
  <si>
    <t>Facility / program name</t>
  </si>
  <si>
    <t>Care Access Program</t>
  </si>
  <si>
    <t>Primary service area / market</t>
  </si>
  <si>
    <t>Grand Rapids</t>
  </si>
  <si>
    <t>Primary city, state</t>
  </si>
  <si>
    <t>Grand Rapids, Michigan</t>
  </si>
  <si>
    <t>Primary contact name</t>
  </si>
  <si>
    <t>Bilbo Baggins</t>
  </si>
  <si>
    <t>Title</t>
  </si>
  <si>
    <t>Director of Care Coordination</t>
  </si>
  <si>
    <t>Email</t>
  </si>
  <si>
    <t>Phone</t>
  </si>
  <si>
    <t>Data period start</t>
  </si>
  <si>
    <t>Data period end</t>
  </si>
  <si>
    <t>Commercial terms &amp; service profile</t>
  </si>
  <si>
    <t>Contract / payer name</t>
  </si>
  <si>
    <t>Payer type</t>
  </si>
  <si>
    <t>Expected go-live timing</t>
  </si>
  <si>
    <t>Primary source of trips</t>
  </si>
  <si>
    <t>Default billing basis</t>
  </si>
  <si>
    <t>Average payment term (days)</t>
  </si>
  <si>
    <t>Trip scheduling lead time</t>
  </si>
  <si>
    <t>Billable no-show allowed?</t>
  </si>
  <si>
    <t>Billable late cancel?</t>
  </si>
  <si>
    <t>Ambulatory avg price / trip</t>
  </si>
  <si>
    <t>Wheelchair avg price / trip</t>
  </si>
  <si>
    <t>Stretcher Alt. avg price / trip</t>
  </si>
  <si>
    <t>SecureCare avg price / trip</t>
  </si>
  <si>
    <t>Other mode avg price / trip</t>
  </si>
  <si>
    <t>Other mode description</t>
  </si>
  <si>
    <t>Known constraints / notes</t>
  </si>
  <si>
    <t>Typical destinations / facilities served</t>
  </si>
  <si>
    <t/>
  </si>
  <si>
    <t>Known access, hours, or handoff constraints</t>
  </si>
  <si>
    <t>Additional comments</t>
  </si>
  <si>
    <t>Auto-checks</t>
  </si>
  <si>
    <t>Intake completion status</t>
  </si>
  <si>
    <t>Billable protection present?</t>
  </si>
  <si>
    <t>Higher-acuity pricing entered?</t>
  </si>
  <si>
    <t>Trip Demand Input (one row per trip pattern / service line / program)</t>
  </si>
  <si>
    <t>Enter average weekly demand by pattern. Keep completed trips, billable no-shows, and non-billable no-shows separate.</t>
  </si>
  <si>
    <t>Row ID</t>
  </si>
  <si>
    <t>Facility Name</t>
  </si>
  <si>
    <t>Contract / Program</t>
  </si>
  <si>
    <t>Source Type</t>
  </si>
  <si>
    <t>Volume Class</t>
  </si>
  <si>
    <t>Service Category</t>
  </si>
  <si>
    <t>Trip Mode</t>
  </si>
  <si>
    <t>Higher-Acuity?</t>
  </si>
  <si>
    <t>Pickup Zone / ZIP</t>
  </si>
  <si>
    <t>Dropoff Zone / ZIP</t>
  </si>
  <si>
    <t>Avg One-Way Miles</t>
  </si>
  <si>
    <t>Completed Trips / Week</t>
  </si>
  <si>
    <t>Billable No-Shows / Week</t>
  </si>
  <si>
    <t>Non-Billable No-Shows / Week</t>
  </si>
  <si>
    <t>Mon</t>
  </si>
  <si>
    <t>Tue</t>
  </si>
  <si>
    <t>Wed</t>
  </si>
  <si>
    <t>Thu</t>
  </si>
  <si>
    <t>Fri</t>
  </si>
  <si>
    <t>Sat</t>
  </si>
  <si>
    <t>Sun</t>
  </si>
  <si>
    <t>Avg Revenue / Completed Trip</t>
  </si>
  <si>
    <t>Recurring?</t>
  </si>
  <si>
    <t>Booking Notice (hrs)</t>
  </si>
  <si>
    <t>Notes</t>
  </si>
  <si>
    <t>Weekly Total (days)</t>
  </si>
  <si>
    <t>Billed Trips / Week</t>
  </si>
  <si>
    <t>Non-Billable NS %</t>
  </si>
  <si>
    <t>Billed Utilization Index</t>
  </si>
  <si>
    <t>Revenue / Week</t>
  </si>
  <si>
    <t>HA Trips / Week</t>
  </si>
  <si>
    <t>Row Status</t>
  </si>
  <si>
    <t>Example Medical Center</t>
  </si>
  <si>
    <t>ED / Inpatient Discharges - Wheelchairs</t>
  </si>
  <si>
    <t>Quality</t>
  </si>
  <si>
    <t>Discharge</t>
  </si>
  <si>
    <t>Wheelchair</t>
  </si>
  <si>
    <t>No</t>
  </si>
  <si>
    <t>Submission Summary Preview</t>
  </si>
  <si>
    <t>Organization summary</t>
  </si>
  <si>
    <t>Organization type</t>
  </si>
  <si>
    <t>Contract / payer</t>
  </si>
  <si>
    <t>Demand &amp; pricing checks</t>
  </si>
  <si>
    <t>Completed trips / week</t>
  </si>
  <si>
    <t>Billable no-shows / week</t>
  </si>
  <si>
    <t>Non-billable no-shows / week</t>
  </si>
  <si>
    <t>Billed trips / week</t>
  </si>
  <si>
    <t>Quality volume share</t>
  </si>
  <si>
    <t>Broker + filler share</t>
  </si>
  <si>
    <t>Weighted avg revenue / completed trip</t>
  </si>
  <si>
    <t>Non-billable no-show rate</t>
  </si>
  <si>
    <t>Total est. weekly revenue</t>
  </si>
  <si>
    <t>Threshold signal (reference only)</t>
  </si>
  <si>
    <t>Quality share &gt;= 90%</t>
  </si>
  <si>
    <t>Broker/filler support present</t>
  </si>
  <si>
    <t>Higher-acuity share &gt;= 5%</t>
  </si>
  <si>
    <t>Non-billable no-show rate &lt; 10%</t>
  </si>
  <si>
    <t>Note</t>
  </si>
  <si>
    <t>This preview checks only the organization submission. Vehicle utilization, road time, concentration risk across all contracts, and cost-per-road-hour are expected to be calculated in Ride YourWay's internal master workbook.</t>
  </si>
  <si>
    <t>Ambulatory</t>
  </si>
  <si>
    <t>Yes</t>
  </si>
  <si>
    <t>Per Trip</t>
  </si>
  <si>
    <t>Direct Facility</t>
  </si>
  <si>
    <t>Skilled Nursing Facility</t>
  </si>
  <si>
    <t>SNF</t>
  </si>
  <si>
    <t>Filler</t>
  </si>
  <si>
    <t>Recurring Appointment</t>
  </si>
  <si>
    <t>Per Leg</t>
  </si>
  <si>
    <t>Health Plan</t>
  </si>
  <si>
    <t>Broker</t>
  </si>
  <si>
    <t>Dialysis</t>
  </si>
  <si>
    <t>Stretcher Alternative</t>
  </si>
  <si>
    <t>Hourly</t>
  </si>
  <si>
    <t>Other</t>
  </si>
  <si>
    <t>Facility Transfer</t>
  </si>
  <si>
    <t>SecureCare</t>
  </si>
  <si>
    <t>Capitated</t>
  </si>
  <si>
    <t>Community Program</t>
  </si>
  <si>
    <t>Community Organization</t>
  </si>
  <si>
    <t>Community Org</t>
  </si>
  <si>
    <t>Behavioral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</si>
</sst>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\$#,##0.00;[Red]\(\$#,##0.00\);\-"/>
    <numFmt numFmtId="166" formatCode="0.0"/>
    <numFmt numFmtId="167" formatCode="0.0%"/>
  </numFmts>
  <fonts count="18">
    <font>
      <sz val="11.0"/>
      <color theme="1"/>
      <name val="Calibri"/>
      <scheme val="minor"/>
    </font>
    <font>
      <b/>
      <sz val="20.0"/>
      <color rgb="FF1F4E78"/>
      <name val="Aptos Narrow"/>
    </font>
    <font/>
    <font>
      <sz val="11.0"/>
      <color theme="1"/>
      <name val="Calibri"/>
    </font>
    <font>
      <sz val="11.0"/>
      <color theme="1"/>
      <name val="Aptos Narrow"/>
    </font>
    <font>
      <b/>
      <sz val="11.0"/>
      <color rgb="FFFFFFFF"/>
      <name val="Aptos Narrow"/>
    </font>
    <font>
      <b/>
      <sz val="10.0"/>
      <color rgb="FF666666"/>
      <name val="Aptos Narrow"/>
    </font>
    <font>
      <b/>
      <sz val="11.0"/>
      <color rgb="FF666666"/>
      <name val="Arial"/>
    </font>
    <font>
      <b/>
      <sz val="11.0"/>
      <color theme="1"/>
      <name val="Aptos Narrow"/>
    </font>
    <font>
      <b/>
      <sz val="11.0"/>
      <color rgb="FF666666"/>
      <name val="Aptos Narrow"/>
    </font>
    <font>
      <b/>
      <sz val="18.0"/>
      <color rgb="FF1F4E78"/>
      <name val="Aptos Narrow"/>
    </font>
    <font>
      <i/>
      <sz val="11.0"/>
      <color rgb="FF666666"/>
      <name val="Aptos Narrow"/>
    </font>
    <font>
      <sz val="11.0"/>
      <color rgb="FF0000FF"/>
      <name val="Arial"/>
    </font>
    <font>
      <sz val="11.0"/>
      <color rgb="FF0000FF"/>
      <name val="Aptos Narrow"/>
    </font>
    <font>
      <sz val="11.0"/>
      <color rgb="FF000000"/>
      <name val="Aptos Narrow"/>
    </font>
    <font>
      <b/>
      <sz val="10.0"/>
      <color rgb="FFFFFFFF"/>
      <name val="Aptos Narrow"/>
    </font>
    <font>
      <b/>
      <sz val="10.0"/>
      <color rgb="FFFFFFFF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7FBFF"/>
        <bgColor rgb="FFF7FBFF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AF3FF"/>
        <bgColor rgb="FFEAF3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CE4D6"/>
        <bgColor rgb="FFFCE4D6"/>
      </patternFill>
    </fill>
  </fills>
  <borders count="2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bottom style="medium">
        <color rgb="FF1F4E78"/>
      </bottom>
    </border>
    <border>
      <left/>
      <top style="medium">
        <color rgb="FF1F4E78"/>
      </top>
      <bottom style="medium">
        <color rgb="FF1F4E78"/>
      </bottom>
    </border>
    <border>
      <top style="medium">
        <color rgb="FF1F4E78"/>
      </top>
      <bottom style="medium">
        <color rgb="FF1F4E78"/>
      </bottom>
    </border>
    <border>
      <right/>
      <top style="medium">
        <color rgb="FF1F4E78"/>
      </top>
      <bottom style="medium">
        <color rgb="FF1F4E78"/>
      </bottom>
    </border>
    <border>
      <bottom style="thin">
        <color rgb="FFD0D7DE"/>
      </bottom>
    </border>
    <border>
      <top style="thin">
        <color rgb="FFD0D7DE"/>
      </top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vertical="top" wrapText="1"/>
    </xf>
    <xf borderId="7" fillId="0" fontId="4" numFmtId="0" xfId="0" applyAlignment="1" applyBorder="1" applyFont="1">
      <alignment horizontal="center"/>
    </xf>
    <xf borderId="7" fillId="0" fontId="2" numFmtId="0" xfId="0" applyBorder="1" applyFont="1"/>
    <xf borderId="8" fillId="3" fontId="5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shrinkToFit="0" wrapText="1"/>
    </xf>
    <xf borderId="11" fillId="0" fontId="2" numFmtId="0" xfId="0" applyBorder="1" applyFont="1"/>
    <xf borderId="12" fillId="0" fontId="4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4" fontId="6" numFmtId="0" xfId="0" applyAlignment="1" applyBorder="1" applyFill="1" applyFont="1">
      <alignment horizontal="left" shrinkToFit="0" vertical="center" wrapText="1"/>
    </xf>
    <xf borderId="14" fillId="0" fontId="4" numFmtId="0" xfId="0" applyAlignment="1" applyBorder="1" applyFont="1">
      <alignment shrinkToFit="0" wrapText="1"/>
    </xf>
    <xf borderId="15" fillId="0" fontId="2" numFmtId="0" xfId="0" applyBorder="1" applyFont="1"/>
    <xf borderId="16" fillId="0" fontId="2" numFmtId="0" xfId="0" applyBorder="1" applyFont="1"/>
    <xf borderId="0" fillId="0" fontId="4" numFmtId="0" xfId="0" applyAlignment="1" applyFont="1">
      <alignment shrinkToFit="0" wrapText="1"/>
    </xf>
    <xf borderId="13" fillId="5" fontId="7" numFmtId="0" xfId="0" applyAlignment="1" applyBorder="1" applyFill="1" applyFont="1">
      <alignment horizontal="left" readingOrder="0" shrinkToFit="0" vertical="center" wrapText="1"/>
    </xf>
    <xf borderId="13" fillId="6" fontId="8" numFmtId="0" xfId="0" applyAlignment="1" applyBorder="1" applyFill="1" applyFont="1">
      <alignment shrinkToFit="0" wrapText="1"/>
    </xf>
    <xf borderId="13" fillId="5" fontId="9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13" fillId="7" fontId="12" numFmtId="0" xfId="0" applyAlignment="1" applyBorder="1" applyFill="1" applyFont="1">
      <alignment horizontal="left" readingOrder="0" shrinkToFit="0" vertical="center" wrapText="1"/>
    </xf>
    <xf borderId="13" fillId="7" fontId="13" numFmtId="0" xfId="0" applyAlignment="1" applyBorder="1" applyFont="1">
      <alignment horizontal="left" shrinkToFit="0" vertical="center" wrapText="1"/>
    </xf>
    <xf borderId="13" fillId="7" fontId="13" numFmtId="164" xfId="0" applyAlignment="1" applyBorder="1" applyFont="1" applyNumberFormat="1">
      <alignment horizontal="left" shrinkToFit="0" vertical="center" wrapText="1"/>
    </xf>
    <xf borderId="13" fillId="7" fontId="13" numFmtId="165" xfId="0" applyAlignment="1" applyBorder="1" applyFont="1" applyNumberFormat="1">
      <alignment horizontal="left" shrinkToFit="0" vertical="center" wrapText="1"/>
    </xf>
    <xf borderId="14" fillId="7" fontId="13" numFmtId="0" xfId="0" applyAlignment="1" applyBorder="1" applyFont="1">
      <alignment horizontal="left" shrinkToFit="0" vertical="center" wrapText="1"/>
    </xf>
    <xf borderId="17" fillId="7" fontId="13" numFmtId="0" xfId="0" applyAlignment="1" applyBorder="1" applyFont="1">
      <alignment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4" fillId="8" fontId="14" numFmtId="0" xfId="0" applyAlignment="1" applyBorder="1" applyFill="1" applyFont="1">
      <alignment horizontal="left" shrinkToFit="0" vertical="center" wrapText="1"/>
    </xf>
    <xf borderId="13" fillId="3" fontId="15" numFmtId="0" xfId="0" applyAlignment="1" applyBorder="1" applyFont="1">
      <alignment horizontal="center" shrinkToFit="0" vertical="center" wrapText="1"/>
    </xf>
    <xf borderId="13" fillId="3" fontId="16" numFmtId="0" xfId="0" applyAlignment="1" applyBorder="1" applyFont="1">
      <alignment horizontal="center" readingOrder="0" shrinkToFit="0" vertical="center" wrapText="1"/>
    </xf>
    <xf borderId="13" fillId="9" fontId="15" numFmtId="0" xfId="0" applyAlignment="1" applyBorder="1" applyFill="1" applyFont="1">
      <alignment horizontal="center" shrinkToFit="0" vertical="center" wrapText="1"/>
    </xf>
    <xf borderId="13" fillId="7" fontId="12" numFmtId="166" xfId="0" applyAlignment="1" applyBorder="1" applyFont="1" applyNumberFormat="1">
      <alignment horizontal="left" readingOrder="0" shrinkToFit="0" vertical="center" wrapText="1"/>
    </xf>
    <xf borderId="13" fillId="7" fontId="12" numFmtId="165" xfId="0" applyAlignment="1" applyBorder="1" applyFont="1" applyNumberFormat="1">
      <alignment horizontal="left" readingOrder="0" shrinkToFit="0" vertical="center" wrapText="1"/>
    </xf>
    <xf borderId="13" fillId="7" fontId="13" numFmtId="166" xfId="0" applyAlignment="1" applyBorder="1" applyFont="1" applyNumberFormat="1">
      <alignment horizontal="left" shrinkToFit="0" vertical="center" wrapText="1"/>
    </xf>
    <xf borderId="13" fillId="8" fontId="14" numFmtId="166" xfId="0" applyAlignment="1" applyBorder="1" applyFont="1" applyNumberFormat="1">
      <alignment horizontal="left" shrinkToFit="0" vertical="center" wrapText="1"/>
    </xf>
    <xf borderId="13" fillId="8" fontId="14" numFmtId="167" xfId="0" applyAlignment="1" applyBorder="1" applyFont="1" applyNumberFormat="1">
      <alignment horizontal="left" shrinkToFit="0" vertical="center" wrapText="1"/>
    </xf>
    <xf borderId="13" fillId="8" fontId="14" numFmtId="165" xfId="0" applyAlignment="1" applyBorder="1" applyFont="1" applyNumberFormat="1">
      <alignment horizontal="left" shrinkToFit="0" vertical="center" wrapText="1"/>
    </xf>
    <xf borderId="13" fillId="8" fontId="14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13" fillId="10" fontId="9" numFmtId="0" xfId="0" applyAlignment="1" applyBorder="1" applyFill="1" applyFont="1">
      <alignment horizontal="left" shrinkToFit="0" vertical="center" wrapText="1"/>
    </xf>
    <xf borderId="17" fillId="10" fontId="4" numFmtId="0" xfId="0" applyAlignment="1" applyBorder="1" applyFont="1">
      <alignment shrinkToFit="0" vertical="top" wrapText="1"/>
    </xf>
    <xf borderId="0" fillId="0" fontId="17" numFmtId="0" xfId="0" applyFont="1"/>
  </cellXfs>
  <cellStyles count="1">
    <cellStyle xfId="0" name="Normal" builtinId="0"/>
  </cellStyles>
  <dxfs count="2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DE9E7"/>
          <bgColor rgb="FFFDE9E7"/>
        </patternFill>
      </fill>
      <border/>
    </dxf>
  </dxfs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18.0"/>
    <col customWidth="1" min="11" max="26" width="8.86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8" t="s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1" t="s">
        <v>2</v>
      </c>
      <c r="B6" s="12"/>
      <c r="C6" s="12"/>
      <c r="D6" s="12"/>
      <c r="E6" s="12"/>
      <c r="F6" s="12"/>
      <c r="G6" s="12"/>
      <c r="H6" s="12"/>
      <c r="I6" s="12"/>
      <c r="J6" s="1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4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4" t="s">
        <v>4</v>
      </c>
      <c r="B8" s="15"/>
      <c r="C8" s="15"/>
      <c r="D8" s="15"/>
      <c r="E8" s="15"/>
      <c r="F8" s="15"/>
      <c r="G8" s="15"/>
      <c r="H8" s="15"/>
      <c r="I8" s="15"/>
      <c r="J8" s="1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4" t="s">
        <v>5</v>
      </c>
      <c r="B9" s="15"/>
      <c r="C9" s="15"/>
      <c r="D9" s="15"/>
      <c r="E9" s="15"/>
      <c r="F9" s="15"/>
      <c r="G9" s="15"/>
      <c r="H9" s="15"/>
      <c r="I9" s="15"/>
      <c r="J9" s="1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4" t="s">
        <v>6</v>
      </c>
      <c r="B10" s="15"/>
      <c r="C10" s="15"/>
      <c r="D10" s="15"/>
      <c r="E10" s="15"/>
      <c r="F10" s="15"/>
      <c r="G10" s="15"/>
      <c r="H10" s="15"/>
      <c r="I10" s="15"/>
      <c r="J10" s="1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4" t="s">
        <v>7</v>
      </c>
      <c r="B11" s="15"/>
      <c r="C11" s="15"/>
      <c r="D11" s="15"/>
      <c r="E11" s="15"/>
      <c r="F11" s="15"/>
      <c r="G11" s="15"/>
      <c r="H11" s="15"/>
      <c r="I11" s="15"/>
      <c r="J11" s="1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8</v>
      </c>
      <c r="B14" s="12"/>
      <c r="C14" s="12"/>
      <c r="D14" s="12"/>
      <c r="E14" s="12"/>
      <c r="F14" s="12"/>
      <c r="G14" s="12"/>
      <c r="H14" s="12"/>
      <c r="I14" s="12"/>
      <c r="J14" s="1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9</v>
      </c>
      <c r="B15" s="19" t="s">
        <v>10</v>
      </c>
      <c r="C15" s="20"/>
      <c r="D15" s="20"/>
      <c r="E15" s="20"/>
      <c r="F15" s="20"/>
      <c r="G15" s="20"/>
      <c r="H15" s="20"/>
      <c r="I15" s="20"/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11</v>
      </c>
      <c r="B16" s="19" t="s">
        <v>12</v>
      </c>
      <c r="C16" s="20"/>
      <c r="D16" s="20"/>
      <c r="E16" s="20"/>
      <c r="F16" s="20"/>
      <c r="G16" s="20"/>
      <c r="H16" s="20"/>
      <c r="I16" s="20"/>
      <c r="J16" s="2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13</v>
      </c>
      <c r="B17" s="19" t="s">
        <v>14</v>
      </c>
      <c r="C17" s="20"/>
      <c r="D17" s="20"/>
      <c r="E17" s="20"/>
      <c r="F17" s="20"/>
      <c r="G17" s="20"/>
      <c r="H17" s="20"/>
      <c r="I17" s="20"/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15</v>
      </c>
      <c r="B18" s="19" t="s">
        <v>16</v>
      </c>
      <c r="C18" s="20"/>
      <c r="D18" s="20"/>
      <c r="E18" s="20"/>
      <c r="F18" s="20"/>
      <c r="G18" s="20"/>
      <c r="H18" s="20"/>
      <c r="I18" s="20"/>
      <c r="J18" s="2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17</v>
      </c>
      <c r="B19" s="19" t="s">
        <v>18</v>
      </c>
      <c r="C19" s="20"/>
      <c r="D19" s="20"/>
      <c r="E19" s="20"/>
      <c r="F19" s="20"/>
      <c r="G19" s="20"/>
      <c r="H19" s="20"/>
      <c r="I19" s="20"/>
      <c r="J19" s="2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1" t="s">
        <v>19</v>
      </c>
      <c r="B22" s="12"/>
      <c r="C22" s="12"/>
      <c r="D22" s="12"/>
      <c r="E22" s="12"/>
      <c r="F22" s="12"/>
      <c r="G22" s="12"/>
      <c r="H22" s="12"/>
      <c r="I22" s="12"/>
      <c r="J22" s="1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3" t="s">
        <v>20</v>
      </c>
      <c r="B23" s="24" t="s">
        <v>21</v>
      </c>
      <c r="C23" s="19" t="s">
        <v>22</v>
      </c>
      <c r="D23" s="20"/>
      <c r="E23" s="20"/>
      <c r="F23" s="20"/>
      <c r="G23" s="20"/>
      <c r="H23" s="20"/>
      <c r="I23" s="20"/>
      <c r="J23" s="2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25" t="s">
        <v>23</v>
      </c>
      <c r="B24" s="24" t="s">
        <v>24</v>
      </c>
      <c r="C24" s="19"/>
      <c r="D24" s="20"/>
      <c r="E24" s="20"/>
      <c r="F24" s="20"/>
      <c r="G24" s="20"/>
      <c r="H24" s="20"/>
      <c r="I24" s="20"/>
      <c r="J24" s="2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5" t="s">
        <v>25</v>
      </c>
      <c r="B25" s="24" t="s">
        <v>26</v>
      </c>
      <c r="C25" s="19"/>
      <c r="D25" s="20"/>
      <c r="E25" s="20"/>
      <c r="F25" s="20"/>
      <c r="G25" s="20"/>
      <c r="H25" s="20"/>
      <c r="I25" s="20"/>
      <c r="J25" s="2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5" t="s">
        <v>27</v>
      </c>
      <c r="B26" s="24" t="s">
        <v>28</v>
      </c>
      <c r="C26" s="19"/>
      <c r="D26" s="20"/>
      <c r="E26" s="20"/>
      <c r="F26" s="20"/>
      <c r="G26" s="20"/>
      <c r="H26" s="20"/>
      <c r="I26" s="20"/>
      <c r="J26" s="2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5" t="s">
        <v>29</v>
      </c>
      <c r="B27" s="24" t="s">
        <v>30</v>
      </c>
      <c r="C27" s="19"/>
      <c r="D27" s="20"/>
      <c r="E27" s="20"/>
      <c r="F27" s="20"/>
      <c r="G27" s="20"/>
      <c r="H27" s="20"/>
      <c r="I27" s="20"/>
      <c r="J27" s="2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5" t="s">
        <v>31</v>
      </c>
      <c r="B28" s="24" t="s">
        <v>32</v>
      </c>
      <c r="C28" s="19"/>
      <c r="D28" s="20"/>
      <c r="E28" s="20"/>
      <c r="F28" s="20"/>
      <c r="G28" s="20"/>
      <c r="H28" s="20"/>
      <c r="I28" s="20"/>
      <c r="J28" s="2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30" ht="15.75" customHeight="1">
      <c r="A30" s="25" t="s">
        <v>33</v>
      </c>
      <c r="B30" s="24" t="s">
        <v>34</v>
      </c>
      <c r="C30" s="19"/>
      <c r="D30" s="20"/>
      <c r="E30" s="20"/>
      <c r="F30" s="20"/>
      <c r="G30" s="20"/>
      <c r="H30" s="20"/>
      <c r="I30" s="20"/>
      <c r="J30" s="2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35</v>
      </c>
      <c r="B33" s="12"/>
      <c r="C33" s="12"/>
      <c r="D33" s="12"/>
      <c r="E33" s="12"/>
      <c r="F33" s="12"/>
      <c r="G33" s="12"/>
      <c r="H33" s="12"/>
      <c r="I33" s="12"/>
      <c r="J33" s="1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5" t="s">
        <v>36</v>
      </c>
      <c r="B34" s="19" t="s">
        <v>37</v>
      </c>
      <c r="C34" s="20"/>
      <c r="D34" s="20"/>
      <c r="E34" s="20"/>
      <c r="F34" s="20"/>
      <c r="G34" s="20"/>
      <c r="H34" s="20"/>
      <c r="I34" s="20"/>
      <c r="J34" s="2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5" t="s">
        <v>38</v>
      </c>
      <c r="B35" s="19" t="s">
        <v>39</v>
      </c>
      <c r="C35" s="20"/>
      <c r="D35" s="20"/>
      <c r="E35" s="20"/>
      <c r="F35" s="20"/>
      <c r="G35" s="20"/>
      <c r="H35" s="20"/>
      <c r="I35" s="20"/>
      <c r="J35" s="2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5" t="s">
        <v>40</v>
      </c>
      <c r="B36" s="19" t="s">
        <v>41</v>
      </c>
      <c r="C36" s="20"/>
      <c r="D36" s="20"/>
      <c r="E36" s="20"/>
      <c r="F36" s="20"/>
      <c r="G36" s="20"/>
      <c r="H36" s="20"/>
      <c r="I36" s="20"/>
      <c r="J36" s="2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5" t="s">
        <v>42</v>
      </c>
      <c r="B37" s="19" t="s">
        <v>43</v>
      </c>
      <c r="C37" s="20"/>
      <c r="D37" s="20"/>
      <c r="E37" s="20"/>
      <c r="F37" s="20"/>
      <c r="G37" s="20"/>
      <c r="H37" s="20"/>
      <c r="I37" s="20"/>
      <c r="J37" s="2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A1:J2"/>
    <mergeCell ref="A3:J4"/>
    <mergeCell ref="A5:J5"/>
    <mergeCell ref="A6:J6"/>
    <mergeCell ref="A7:J7"/>
    <mergeCell ref="A8:J8"/>
    <mergeCell ref="A9:J9"/>
    <mergeCell ref="A10:J10"/>
    <mergeCell ref="A11:J11"/>
    <mergeCell ref="A12:J13"/>
    <mergeCell ref="A14:J14"/>
    <mergeCell ref="B15:J15"/>
    <mergeCell ref="B16:J16"/>
    <mergeCell ref="B17:J17"/>
    <mergeCell ref="C27:J27"/>
    <mergeCell ref="C28:J28"/>
    <mergeCell ref="C30:J30"/>
    <mergeCell ref="A33:J33"/>
    <mergeCell ref="B34:J34"/>
    <mergeCell ref="B35:J35"/>
    <mergeCell ref="B36:J36"/>
    <mergeCell ref="B37:J37"/>
    <mergeCell ref="B18:J18"/>
    <mergeCell ref="B19:J19"/>
    <mergeCell ref="A22:J22"/>
    <mergeCell ref="C23:J23"/>
    <mergeCell ref="C24:J24"/>
    <mergeCell ref="C25:J25"/>
    <mergeCell ref="C26:J26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24.0"/>
    <col customWidth="1" min="4" max="5" width="22.0"/>
    <col customWidth="1" min="6" max="6" width="24.0"/>
    <col customWidth="1" min="7" max="8" width="20.0"/>
    <col customWidth="1" min="9" max="26" width="8.86"/>
  </cols>
  <sheetData>
    <row r="1" ht="21.75" customHeight="1">
      <c r="A1" s="26" t="s">
        <v>44</v>
      </c>
    </row>
    <row r="2" ht="21.75" customHeight="1"/>
    <row r="3" ht="21.75" customHeight="1">
      <c r="A3" s="27" t="s">
        <v>45</v>
      </c>
    </row>
    <row r="4" ht="21.75" customHeight="1">
      <c r="A4" s="22"/>
      <c r="B4" s="22"/>
      <c r="C4" s="22"/>
      <c r="D4" s="22"/>
      <c r="E4" s="22"/>
      <c r="F4" s="22"/>
      <c r="G4" s="22"/>
      <c r="H4" s="22"/>
    </row>
    <row r="5" ht="21.75" customHeight="1">
      <c r="A5" s="11" t="s">
        <v>46</v>
      </c>
      <c r="B5" s="12"/>
      <c r="C5" s="12"/>
      <c r="D5" s="12"/>
      <c r="E5" s="12"/>
      <c r="F5" s="12"/>
      <c r="G5" s="12"/>
      <c r="H5" s="13"/>
    </row>
    <row r="6" ht="21.75" customHeight="1">
      <c r="A6" s="25" t="s">
        <v>47</v>
      </c>
      <c r="B6" s="28" t="s">
        <v>48</v>
      </c>
      <c r="C6" s="25" t="s">
        <v>49</v>
      </c>
      <c r="D6" s="28" t="s">
        <v>50</v>
      </c>
      <c r="E6" s="23" t="s">
        <v>51</v>
      </c>
      <c r="F6" s="28" t="s">
        <v>52</v>
      </c>
      <c r="G6" s="22"/>
      <c r="H6" s="22"/>
    </row>
    <row r="7">
      <c r="A7" s="25" t="s">
        <v>53</v>
      </c>
      <c r="B7" s="28" t="s">
        <v>54</v>
      </c>
      <c r="C7" s="25" t="s">
        <v>55</v>
      </c>
      <c r="D7" s="28" t="s">
        <v>56</v>
      </c>
      <c r="E7" s="25" t="s">
        <v>57</v>
      </c>
      <c r="F7" s="28" t="s">
        <v>58</v>
      </c>
      <c r="G7" s="22"/>
      <c r="H7" s="22"/>
    </row>
    <row r="8" ht="21.75" customHeight="1">
      <c r="A8" s="25" t="s">
        <v>59</v>
      </c>
      <c r="B8" s="28" t="s">
        <v>60</v>
      </c>
      <c r="C8" s="25" t="s">
        <v>61</v>
      </c>
      <c r="D8" s="28" t="s">
        <v>62</v>
      </c>
      <c r="E8" s="25" t="s">
        <v>63</v>
      </c>
      <c r="F8" s="29"/>
      <c r="G8" s="22"/>
      <c r="H8" s="22"/>
    </row>
    <row r="9" ht="21.75" customHeight="1">
      <c r="A9" s="25" t="s">
        <v>64</v>
      </c>
      <c r="B9" s="29"/>
      <c r="C9" s="25" t="s">
        <v>65</v>
      </c>
      <c r="D9" s="30"/>
      <c r="E9" s="25" t="s">
        <v>66</v>
      </c>
      <c r="F9" s="30"/>
      <c r="G9" s="22"/>
      <c r="H9" s="22"/>
    </row>
    <row r="10" ht="21.75" customHeight="1">
      <c r="A10" s="22"/>
      <c r="B10" s="22"/>
      <c r="C10" s="22"/>
      <c r="D10" s="22"/>
      <c r="E10" s="22"/>
      <c r="F10" s="22"/>
      <c r="G10" s="22"/>
      <c r="H10" s="22"/>
    </row>
    <row r="11" ht="21.75" customHeight="1">
      <c r="A11" s="11" t="s">
        <v>67</v>
      </c>
      <c r="B11" s="12"/>
      <c r="C11" s="12"/>
      <c r="D11" s="12"/>
      <c r="E11" s="12"/>
      <c r="F11" s="12"/>
      <c r="G11" s="12"/>
      <c r="H11" s="13"/>
    </row>
    <row r="12">
      <c r="A12" s="25" t="s">
        <v>68</v>
      </c>
      <c r="B12" s="29"/>
      <c r="C12" s="25" t="s">
        <v>69</v>
      </c>
      <c r="D12" s="29"/>
      <c r="E12" s="25" t="s">
        <v>70</v>
      </c>
      <c r="F12" s="29"/>
      <c r="G12" s="22"/>
      <c r="H12" s="22"/>
    </row>
    <row r="13">
      <c r="A13" s="25" t="s">
        <v>71</v>
      </c>
      <c r="B13" s="29"/>
      <c r="C13" s="25" t="s">
        <v>72</v>
      </c>
      <c r="D13" s="29"/>
      <c r="E13" s="25" t="s">
        <v>73</v>
      </c>
      <c r="F13" s="29"/>
      <c r="G13" s="22"/>
      <c r="H13" s="22"/>
    </row>
    <row r="14">
      <c r="A14" s="25" t="s">
        <v>74</v>
      </c>
      <c r="B14" s="29"/>
      <c r="C14" s="25" t="s">
        <v>75</v>
      </c>
      <c r="D14" s="29"/>
      <c r="E14" s="25" t="s">
        <v>76</v>
      </c>
      <c r="F14" s="29"/>
      <c r="G14" s="22"/>
      <c r="H14" s="22"/>
    </row>
    <row r="15">
      <c r="A15" s="25" t="s">
        <v>77</v>
      </c>
      <c r="B15" s="31"/>
      <c r="C15" s="25" t="s">
        <v>78</v>
      </c>
      <c r="D15" s="31"/>
      <c r="E15" s="25" t="s">
        <v>79</v>
      </c>
      <c r="F15" s="31"/>
      <c r="G15" s="22"/>
      <c r="H15" s="22"/>
    </row>
    <row r="16">
      <c r="A16" s="25" t="s">
        <v>80</v>
      </c>
      <c r="B16" s="31"/>
      <c r="C16" s="25" t="s">
        <v>81</v>
      </c>
      <c r="D16" s="31"/>
      <c r="E16" s="25" t="s">
        <v>82</v>
      </c>
      <c r="F16" s="29"/>
      <c r="G16" s="22"/>
      <c r="H16" s="22"/>
    </row>
    <row r="17" ht="21.75" customHeight="1">
      <c r="A17" s="22"/>
      <c r="B17" s="22"/>
      <c r="C17" s="22"/>
      <c r="D17" s="22"/>
      <c r="E17" s="22"/>
      <c r="F17" s="22"/>
      <c r="G17" s="22"/>
      <c r="H17" s="22"/>
    </row>
    <row r="18">
      <c r="A18" s="11" t="s">
        <v>83</v>
      </c>
      <c r="B18" s="12"/>
      <c r="C18" s="12"/>
      <c r="D18" s="12"/>
      <c r="E18" s="12"/>
      <c r="F18" s="12"/>
      <c r="G18" s="12"/>
      <c r="H18" s="13"/>
    </row>
    <row r="19">
      <c r="A19" s="25" t="s">
        <v>84</v>
      </c>
      <c r="B19" s="32" t="s">
        <v>85</v>
      </c>
      <c r="C19" s="20"/>
      <c r="D19" s="20"/>
      <c r="E19" s="20"/>
      <c r="F19" s="20"/>
      <c r="G19" s="20"/>
      <c r="H19" s="21"/>
    </row>
    <row r="20">
      <c r="A20" s="25" t="s">
        <v>86</v>
      </c>
      <c r="B20" s="32" t="s">
        <v>85</v>
      </c>
      <c r="C20" s="20"/>
      <c r="D20" s="20"/>
      <c r="E20" s="20"/>
      <c r="F20" s="20"/>
      <c r="G20" s="20"/>
      <c r="H20" s="21"/>
    </row>
    <row r="21" ht="24.0" customHeight="1">
      <c r="A21" s="25" t="s">
        <v>87</v>
      </c>
      <c r="B21" s="33" t="s">
        <v>85</v>
      </c>
      <c r="C21" s="17"/>
      <c r="D21" s="17"/>
      <c r="E21" s="17"/>
      <c r="F21" s="17"/>
      <c r="G21" s="17"/>
      <c r="H21" s="34"/>
    </row>
    <row r="22" ht="24.0" customHeight="1">
      <c r="A22" s="22"/>
      <c r="B22" s="35"/>
      <c r="H22" s="36"/>
    </row>
    <row r="23" ht="24.0" customHeight="1">
      <c r="A23" s="22"/>
      <c r="B23" s="37"/>
      <c r="C23" s="15"/>
      <c r="D23" s="15"/>
      <c r="E23" s="15"/>
      <c r="F23" s="15"/>
      <c r="G23" s="15"/>
      <c r="H23" s="38"/>
    </row>
    <row r="24" ht="21.75" customHeight="1">
      <c r="A24" s="22"/>
      <c r="B24" s="22"/>
      <c r="C24" s="22"/>
      <c r="D24" s="22"/>
      <c r="E24" s="22"/>
      <c r="F24" s="22"/>
      <c r="G24" s="22"/>
      <c r="H24" s="22"/>
    </row>
    <row r="25" ht="21.75" customHeight="1">
      <c r="A25" s="11" t="s">
        <v>88</v>
      </c>
      <c r="B25" s="12"/>
      <c r="C25" s="12"/>
      <c r="D25" s="12"/>
      <c r="E25" s="12"/>
      <c r="F25" s="12"/>
      <c r="G25" s="12"/>
      <c r="H25" s="13"/>
    </row>
    <row r="26" ht="15.75" customHeight="1">
      <c r="A26" s="25" t="s">
        <v>89</v>
      </c>
      <c r="B26" s="39" t="str">
        <f>IF(COUNTA(B6,D6,F6,B8,F8,B12,D12,D14,F14)=9,"Complete core fields","Missing core fields")</f>
        <v>Missing core fields</v>
      </c>
      <c r="C26" s="20"/>
      <c r="D26" s="21"/>
      <c r="E26" s="19" t="s">
        <v>85</v>
      </c>
      <c r="F26" s="20"/>
      <c r="G26" s="20"/>
      <c r="H26" s="21"/>
    </row>
    <row r="27" ht="15.75" customHeight="1">
      <c r="A27" s="25" t="s">
        <v>90</v>
      </c>
      <c r="B27" s="39" t="str">
        <f>IF(OR(D14="Yes",F14="Yes"),"Yes","No")</f>
        <v>No</v>
      </c>
      <c r="C27" s="20"/>
      <c r="D27" s="21"/>
      <c r="E27" s="19" t="s">
        <v>85</v>
      </c>
      <c r="F27" s="20"/>
      <c r="G27" s="20"/>
      <c r="H27" s="21"/>
    </row>
    <row r="28" ht="15.75" customHeight="1">
      <c r="A28" s="25" t="s">
        <v>91</v>
      </c>
      <c r="B28" s="39" t="str">
        <f>IF(OR(F15&lt;&gt;"",B16&lt;&gt;""),"Yes","No")</f>
        <v>No</v>
      </c>
      <c r="C28" s="20"/>
      <c r="D28" s="21"/>
      <c r="E28" s="19" t="s">
        <v>85</v>
      </c>
      <c r="F28" s="20"/>
      <c r="G28" s="20"/>
      <c r="H28" s="21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1:H23"/>
    <mergeCell ref="A25:H25"/>
    <mergeCell ref="B26:D26"/>
    <mergeCell ref="E26:H26"/>
    <mergeCell ref="B27:D27"/>
    <mergeCell ref="E27:H27"/>
    <mergeCell ref="B28:D28"/>
    <mergeCell ref="E28:H28"/>
    <mergeCell ref="A1:H2"/>
    <mergeCell ref="A3:H3"/>
    <mergeCell ref="A5:H5"/>
    <mergeCell ref="A11:H11"/>
    <mergeCell ref="A18:H18"/>
    <mergeCell ref="B19:H19"/>
    <mergeCell ref="B20:H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3" width="22.0"/>
    <col customWidth="1" min="4" max="4" width="16.0"/>
    <col customWidth="1" min="5" max="5" width="14.0"/>
    <col customWidth="1" min="6" max="7" width="20.0"/>
    <col customWidth="1" min="8" max="8" width="12.0"/>
    <col customWidth="1" min="9" max="10" width="16.0"/>
    <col customWidth="1" min="11" max="11" width="14.0"/>
    <col customWidth="1" min="12" max="13" width="18.0"/>
    <col customWidth="1" min="14" max="14" width="20.0"/>
    <col customWidth="1" min="15" max="21" width="8.0"/>
    <col customWidth="1" min="22" max="22" width="20.0"/>
    <col customWidth="1" min="23" max="23" width="12.0"/>
    <col customWidth="1" min="24" max="24" width="14.0"/>
    <col customWidth="1" min="25" max="25" width="22.0"/>
    <col customWidth="1" min="26" max="26" width="14.0"/>
    <col customWidth="1" min="27" max="27" width="16.0"/>
    <col customWidth="1" min="28" max="28" width="14.0"/>
    <col customWidth="1" min="29" max="29" width="16.0"/>
    <col customWidth="1" min="30" max="30" width="18.0"/>
    <col customWidth="1" min="31" max="32" width="14.0"/>
  </cols>
  <sheetData>
    <row r="1">
      <c r="A1" s="26" t="s">
        <v>92</v>
      </c>
    </row>
    <row r="3">
      <c r="A3" s="27" t="s">
        <v>93</v>
      </c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33.75" customHeight="1">
      <c r="A5" s="40" t="s">
        <v>94</v>
      </c>
      <c r="B5" s="41" t="s">
        <v>95</v>
      </c>
      <c r="C5" s="40" t="s">
        <v>96</v>
      </c>
      <c r="D5" s="40" t="s">
        <v>97</v>
      </c>
      <c r="E5" s="40" t="s">
        <v>98</v>
      </c>
      <c r="F5" s="40" t="s">
        <v>99</v>
      </c>
      <c r="G5" s="40" t="s">
        <v>100</v>
      </c>
      <c r="H5" s="40" t="s">
        <v>101</v>
      </c>
      <c r="I5" s="40" t="s">
        <v>102</v>
      </c>
      <c r="J5" s="40" t="s">
        <v>103</v>
      </c>
      <c r="K5" s="40" t="s">
        <v>104</v>
      </c>
      <c r="L5" s="40" t="s">
        <v>105</v>
      </c>
      <c r="M5" s="40" t="s">
        <v>106</v>
      </c>
      <c r="N5" s="40" t="s">
        <v>107</v>
      </c>
      <c r="O5" s="40" t="s">
        <v>108</v>
      </c>
      <c r="P5" s="40" t="s">
        <v>109</v>
      </c>
      <c r="Q5" s="40" t="s">
        <v>110</v>
      </c>
      <c r="R5" s="40" t="s">
        <v>111</v>
      </c>
      <c r="S5" s="40" t="s">
        <v>112</v>
      </c>
      <c r="T5" s="40" t="s">
        <v>113</v>
      </c>
      <c r="U5" s="40" t="s">
        <v>114</v>
      </c>
      <c r="V5" s="40" t="s">
        <v>115</v>
      </c>
      <c r="W5" s="40" t="s">
        <v>116</v>
      </c>
      <c r="X5" s="40" t="s">
        <v>117</v>
      </c>
      <c r="Y5" s="40" t="s">
        <v>118</v>
      </c>
      <c r="Z5" s="42" t="s">
        <v>119</v>
      </c>
      <c r="AA5" s="42" t="s">
        <v>120</v>
      </c>
      <c r="AB5" s="42" t="s">
        <v>121</v>
      </c>
      <c r="AC5" s="42" t="s">
        <v>122</v>
      </c>
      <c r="AD5" s="42" t="s">
        <v>123</v>
      </c>
      <c r="AE5" s="42" t="s">
        <v>124</v>
      </c>
      <c r="AF5" s="42" t="s">
        <v>125</v>
      </c>
    </row>
    <row r="6">
      <c r="A6" s="29">
        <v>1.0</v>
      </c>
      <c r="B6" s="28" t="s">
        <v>126</v>
      </c>
      <c r="C6" s="28" t="s">
        <v>127</v>
      </c>
      <c r="D6" s="28" t="s">
        <v>52</v>
      </c>
      <c r="E6" s="28" t="s">
        <v>128</v>
      </c>
      <c r="F6" s="28" t="s">
        <v>129</v>
      </c>
      <c r="G6" s="28" t="s">
        <v>130</v>
      </c>
      <c r="H6" s="28" t="s">
        <v>131</v>
      </c>
      <c r="I6" s="28"/>
      <c r="J6" s="28"/>
      <c r="K6" s="43">
        <v>9.0</v>
      </c>
      <c r="L6" s="43">
        <v>18.0</v>
      </c>
      <c r="M6" s="43">
        <v>2.0</v>
      </c>
      <c r="N6" s="43">
        <v>1.0</v>
      </c>
      <c r="O6" s="43">
        <v>3.0</v>
      </c>
      <c r="P6" s="43">
        <v>4.0</v>
      </c>
      <c r="Q6" s="43">
        <v>4.0</v>
      </c>
      <c r="R6" s="43">
        <v>3.0</v>
      </c>
      <c r="S6" s="43">
        <v>4.0</v>
      </c>
      <c r="T6" s="43">
        <v>1.0</v>
      </c>
      <c r="U6" s="43">
        <v>1.0</v>
      </c>
      <c r="V6" s="44">
        <v>200.0</v>
      </c>
      <c r="W6" s="29"/>
      <c r="X6" s="45"/>
      <c r="Y6" s="29"/>
      <c r="Z6" s="46">
        <f t="shared" ref="Z6:Z65" si="1">IF(COUNTA(O6:U6)=0,"",SUM(O6:U6))</f>
        <v>20</v>
      </c>
      <c r="AA6" s="46">
        <f t="shared" ref="AA6:AA65" si="2">IF(L6="","",L6+M6)</f>
        <v>20</v>
      </c>
      <c r="AB6" s="47">
        <f t="shared" ref="AB6:AB65" si="3">IF(SUM(L6:N6)=0,"",N6/SUM(L6:N6))</f>
        <v>0.04761904762</v>
      </c>
      <c r="AC6" s="47">
        <f t="shared" ref="AC6:AC65" si="4">IF(L6=0,"",(L6+M6)/L6)</f>
        <v>1.111111111</v>
      </c>
      <c r="AD6" s="48" t="str">
        <f t="shared" ref="AD6:AD65" si="5">IF(L6="","",L6*V6+M6*#REF!)</f>
        <v>#REF!</v>
      </c>
      <c r="AE6" s="46" t="str">
        <f t="shared" ref="AE6:AE65" si="6">IF(H6="Yes",L6,"")</f>
        <v/>
      </c>
      <c r="AF6" s="49"/>
    </row>
    <row r="7" ht="21.75" customHeight="1">
      <c r="A7" s="29">
        <v>2.0</v>
      </c>
      <c r="B7" s="29"/>
      <c r="C7" s="29"/>
      <c r="D7" s="29"/>
      <c r="E7" s="29"/>
      <c r="F7" s="29"/>
      <c r="G7" s="29"/>
      <c r="H7" s="29"/>
      <c r="I7" s="29"/>
      <c r="J7" s="29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31"/>
      <c r="W7" s="29"/>
      <c r="X7" s="45"/>
      <c r="Y7" s="29"/>
      <c r="Z7" s="46" t="str">
        <f t="shared" si="1"/>
        <v/>
      </c>
      <c r="AA7" s="46" t="str">
        <f t="shared" si="2"/>
        <v/>
      </c>
      <c r="AB7" s="47" t="str">
        <f t="shared" si="3"/>
        <v/>
      </c>
      <c r="AC7" s="47" t="str">
        <f t="shared" si="4"/>
        <v/>
      </c>
      <c r="AD7" s="48" t="str">
        <f t="shared" si="5"/>
        <v/>
      </c>
      <c r="AE7" s="46" t="str">
        <f t="shared" si="6"/>
        <v/>
      </c>
      <c r="AF7" s="49"/>
    </row>
    <row r="8" ht="21.75" customHeight="1">
      <c r="A8" s="29">
        <v>3.0</v>
      </c>
      <c r="B8" s="29"/>
      <c r="C8" s="29"/>
      <c r="D8" s="29"/>
      <c r="E8" s="29"/>
      <c r="F8" s="29"/>
      <c r="G8" s="29"/>
      <c r="H8" s="29"/>
      <c r="I8" s="29"/>
      <c r="J8" s="29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31"/>
      <c r="W8" s="29"/>
      <c r="X8" s="45"/>
      <c r="Y8" s="29"/>
      <c r="Z8" s="46" t="str">
        <f t="shared" si="1"/>
        <v/>
      </c>
      <c r="AA8" s="46" t="str">
        <f t="shared" si="2"/>
        <v/>
      </c>
      <c r="AB8" s="47" t="str">
        <f t="shared" si="3"/>
        <v/>
      </c>
      <c r="AC8" s="47" t="str">
        <f t="shared" si="4"/>
        <v/>
      </c>
      <c r="AD8" s="48" t="str">
        <f t="shared" si="5"/>
        <v/>
      </c>
      <c r="AE8" s="46" t="str">
        <f t="shared" si="6"/>
        <v/>
      </c>
      <c r="AF8" s="49"/>
    </row>
    <row r="9" ht="21.75" customHeight="1">
      <c r="A9" s="29">
        <v>4.0</v>
      </c>
      <c r="B9" s="29"/>
      <c r="C9" s="29"/>
      <c r="D9" s="29"/>
      <c r="E9" s="29"/>
      <c r="F9" s="29"/>
      <c r="G9" s="29"/>
      <c r="H9" s="29"/>
      <c r="I9" s="29"/>
      <c r="J9" s="29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31"/>
      <c r="W9" s="29"/>
      <c r="X9" s="45"/>
      <c r="Y9" s="29"/>
      <c r="Z9" s="46" t="str">
        <f t="shared" si="1"/>
        <v/>
      </c>
      <c r="AA9" s="46" t="str">
        <f t="shared" si="2"/>
        <v/>
      </c>
      <c r="AB9" s="47" t="str">
        <f t="shared" si="3"/>
        <v/>
      </c>
      <c r="AC9" s="47" t="str">
        <f t="shared" si="4"/>
        <v/>
      </c>
      <c r="AD9" s="48" t="str">
        <f t="shared" si="5"/>
        <v/>
      </c>
      <c r="AE9" s="46" t="str">
        <f t="shared" si="6"/>
        <v/>
      </c>
      <c r="AF9" s="49"/>
    </row>
    <row r="10" ht="21.75" customHeight="1">
      <c r="A10" s="29">
        <v>5.0</v>
      </c>
      <c r="B10" s="29"/>
      <c r="C10" s="29"/>
      <c r="D10" s="29"/>
      <c r="E10" s="29"/>
      <c r="F10" s="29"/>
      <c r="G10" s="29"/>
      <c r="H10" s="29"/>
      <c r="I10" s="29"/>
      <c r="J10" s="29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31"/>
      <c r="W10" s="29"/>
      <c r="X10" s="45"/>
      <c r="Y10" s="29"/>
      <c r="Z10" s="46" t="str">
        <f t="shared" si="1"/>
        <v/>
      </c>
      <c r="AA10" s="46" t="str">
        <f t="shared" si="2"/>
        <v/>
      </c>
      <c r="AB10" s="47" t="str">
        <f t="shared" si="3"/>
        <v/>
      </c>
      <c r="AC10" s="47" t="str">
        <f t="shared" si="4"/>
        <v/>
      </c>
      <c r="AD10" s="48" t="str">
        <f t="shared" si="5"/>
        <v/>
      </c>
      <c r="AE10" s="46" t="str">
        <f t="shared" si="6"/>
        <v/>
      </c>
      <c r="AF10" s="49"/>
    </row>
    <row r="11" ht="21.75" customHeight="1">
      <c r="A11" s="29">
        <v>6.0</v>
      </c>
      <c r="B11" s="29"/>
      <c r="C11" s="29"/>
      <c r="D11" s="29"/>
      <c r="E11" s="29"/>
      <c r="F11" s="29"/>
      <c r="G11" s="29"/>
      <c r="H11" s="29"/>
      <c r="I11" s="29"/>
      <c r="J11" s="29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31"/>
      <c r="W11" s="29"/>
      <c r="X11" s="45"/>
      <c r="Y11" s="29"/>
      <c r="Z11" s="46" t="str">
        <f t="shared" si="1"/>
        <v/>
      </c>
      <c r="AA11" s="46" t="str">
        <f t="shared" si="2"/>
        <v/>
      </c>
      <c r="AB11" s="47" t="str">
        <f t="shared" si="3"/>
        <v/>
      </c>
      <c r="AC11" s="47" t="str">
        <f t="shared" si="4"/>
        <v/>
      </c>
      <c r="AD11" s="48" t="str">
        <f t="shared" si="5"/>
        <v/>
      </c>
      <c r="AE11" s="46" t="str">
        <f t="shared" si="6"/>
        <v/>
      </c>
      <c r="AF11" s="49"/>
    </row>
    <row r="12" ht="21.75" customHeight="1">
      <c r="A12" s="29">
        <v>7.0</v>
      </c>
      <c r="B12" s="29"/>
      <c r="C12" s="29"/>
      <c r="D12" s="29"/>
      <c r="E12" s="29"/>
      <c r="F12" s="29"/>
      <c r="G12" s="29"/>
      <c r="H12" s="29"/>
      <c r="I12" s="29"/>
      <c r="J12" s="29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31"/>
      <c r="W12" s="29"/>
      <c r="X12" s="45"/>
      <c r="Y12" s="29"/>
      <c r="Z12" s="46" t="str">
        <f t="shared" si="1"/>
        <v/>
      </c>
      <c r="AA12" s="46" t="str">
        <f t="shared" si="2"/>
        <v/>
      </c>
      <c r="AB12" s="47" t="str">
        <f t="shared" si="3"/>
        <v/>
      </c>
      <c r="AC12" s="47" t="str">
        <f t="shared" si="4"/>
        <v/>
      </c>
      <c r="AD12" s="48" t="str">
        <f t="shared" si="5"/>
        <v/>
      </c>
      <c r="AE12" s="46" t="str">
        <f t="shared" si="6"/>
        <v/>
      </c>
      <c r="AF12" s="49"/>
    </row>
    <row r="13" ht="21.75" customHeight="1">
      <c r="A13" s="29">
        <v>8.0</v>
      </c>
      <c r="B13" s="29"/>
      <c r="C13" s="29"/>
      <c r="D13" s="29"/>
      <c r="E13" s="29"/>
      <c r="F13" s="29"/>
      <c r="G13" s="29"/>
      <c r="H13" s="29"/>
      <c r="I13" s="29"/>
      <c r="J13" s="29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31"/>
      <c r="W13" s="29"/>
      <c r="X13" s="45"/>
      <c r="Y13" s="29"/>
      <c r="Z13" s="46" t="str">
        <f t="shared" si="1"/>
        <v/>
      </c>
      <c r="AA13" s="46" t="str">
        <f t="shared" si="2"/>
        <v/>
      </c>
      <c r="AB13" s="47" t="str">
        <f t="shared" si="3"/>
        <v/>
      </c>
      <c r="AC13" s="47" t="str">
        <f t="shared" si="4"/>
        <v/>
      </c>
      <c r="AD13" s="48" t="str">
        <f t="shared" si="5"/>
        <v/>
      </c>
      <c r="AE13" s="46" t="str">
        <f t="shared" si="6"/>
        <v/>
      </c>
      <c r="AF13" s="49"/>
    </row>
    <row r="14" ht="21.75" customHeight="1">
      <c r="A14" s="29">
        <v>9.0</v>
      </c>
      <c r="B14" s="29"/>
      <c r="C14" s="29"/>
      <c r="D14" s="29"/>
      <c r="E14" s="29"/>
      <c r="F14" s="29"/>
      <c r="G14" s="29"/>
      <c r="H14" s="29"/>
      <c r="I14" s="29"/>
      <c r="J14" s="29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31"/>
      <c r="W14" s="29"/>
      <c r="X14" s="45"/>
      <c r="Y14" s="29"/>
      <c r="Z14" s="46" t="str">
        <f t="shared" si="1"/>
        <v/>
      </c>
      <c r="AA14" s="46" t="str">
        <f t="shared" si="2"/>
        <v/>
      </c>
      <c r="AB14" s="47" t="str">
        <f t="shared" si="3"/>
        <v/>
      </c>
      <c r="AC14" s="47" t="str">
        <f t="shared" si="4"/>
        <v/>
      </c>
      <c r="AD14" s="48" t="str">
        <f t="shared" si="5"/>
        <v/>
      </c>
      <c r="AE14" s="46" t="str">
        <f t="shared" si="6"/>
        <v/>
      </c>
      <c r="AF14" s="49"/>
    </row>
    <row r="15" ht="21.75" customHeight="1">
      <c r="A15" s="29">
        <v>10.0</v>
      </c>
      <c r="B15" s="29"/>
      <c r="C15" s="29"/>
      <c r="D15" s="29"/>
      <c r="E15" s="29"/>
      <c r="F15" s="29"/>
      <c r="G15" s="29"/>
      <c r="H15" s="29"/>
      <c r="I15" s="29"/>
      <c r="J15" s="29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31"/>
      <c r="W15" s="29"/>
      <c r="X15" s="45"/>
      <c r="Y15" s="29"/>
      <c r="Z15" s="46" t="str">
        <f t="shared" si="1"/>
        <v/>
      </c>
      <c r="AA15" s="46" t="str">
        <f t="shared" si="2"/>
        <v/>
      </c>
      <c r="AB15" s="47" t="str">
        <f t="shared" si="3"/>
        <v/>
      </c>
      <c r="AC15" s="47" t="str">
        <f t="shared" si="4"/>
        <v/>
      </c>
      <c r="AD15" s="48" t="str">
        <f t="shared" si="5"/>
        <v/>
      </c>
      <c r="AE15" s="46" t="str">
        <f t="shared" si="6"/>
        <v/>
      </c>
      <c r="AF15" s="49"/>
    </row>
    <row r="16" ht="21.75" customHeight="1">
      <c r="A16" s="29">
        <v>11.0</v>
      </c>
      <c r="B16" s="29"/>
      <c r="C16" s="29"/>
      <c r="D16" s="29"/>
      <c r="E16" s="29"/>
      <c r="F16" s="29"/>
      <c r="G16" s="29"/>
      <c r="H16" s="29"/>
      <c r="I16" s="29"/>
      <c r="J16" s="29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31"/>
      <c r="W16" s="29"/>
      <c r="X16" s="45"/>
      <c r="Y16" s="29"/>
      <c r="Z16" s="46" t="str">
        <f t="shared" si="1"/>
        <v/>
      </c>
      <c r="AA16" s="46" t="str">
        <f t="shared" si="2"/>
        <v/>
      </c>
      <c r="AB16" s="47" t="str">
        <f t="shared" si="3"/>
        <v/>
      </c>
      <c r="AC16" s="47" t="str">
        <f t="shared" si="4"/>
        <v/>
      </c>
      <c r="AD16" s="48" t="str">
        <f t="shared" si="5"/>
        <v/>
      </c>
      <c r="AE16" s="46" t="str">
        <f t="shared" si="6"/>
        <v/>
      </c>
      <c r="AF16" s="49"/>
    </row>
    <row r="17" ht="21.75" customHeight="1">
      <c r="A17" s="29">
        <v>12.0</v>
      </c>
      <c r="B17" s="29"/>
      <c r="C17" s="29"/>
      <c r="D17" s="29"/>
      <c r="E17" s="29"/>
      <c r="F17" s="29"/>
      <c r="G17" s="29"/>
      <c r="H17" s="29"/>
      <c r="I17" s="29"/>
      <c r="J17" s="29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31"/>
      <c r="W17" s="29"/>
      <c r="X17" s="45"/>
      <c r="Y17" s="29"/>
      <c r="Z17" s="46" t="str">
        <f t="shared" si="1"/>
        <v/>
      </c>
      <c r="AA17" s="46" t="str">
        <f t="shared" si="2"/>
        <v/>
      </c>
      <c r="AB17" s="47" t="str">
        <f t="shared" si="3"/>
        <v/>
      </c>
      <c r="AC17" s="47" t="str">
        <f t="shared" si="4"/>
        <v/>
      </c>
      <c r="AD17" s="48" t="str">
        <f t="shared" si="5"/>
        <v/>
      </c>
      <c r="AE17" s="46" t="str">
        <f t="shared" si="6"/>
        <v/>
      </c>
      <c r="AF17" s="49"/>
    </row>
    <row r="18" ht="21.75" customHeight="1">
      <c r="A18" s="29">
        <v>13.0</v>
      </c>
      <c r="B18" s="29"/>
      <c r="C18" s="29"/>
      <c r="D18" s="29"/>
      <c r="E18" s="29"/>
      <c r="F18" s="29"/>
      <c r="G18" s="29"/>
      <c r="H18" s="29"/>
      <c r="I18" s="29"/>
      <c r="J18" s="29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31"/>
      <c r="W18" s="29"/>
      <c r="X18" s="45"/>
      <c r="Y18" s="29"/>
      <c r="Z18" s="46" t="str">
        <f t="shared" si="1"/>
        <v/>
      </c>
      <c r="AA18" s="46" t="str">
        <f t="shared" si="2"/>
        <v/>
      </c>
      <c r="AB18" s="47" t="str">
        <f t="shared" si="3"/>
        <v/>
      </c>
      <c r="AC18" s="47" t="str">
        <f t="shared" si="4"/>
        <v/>
      </c>
      <c r="AD18" s="48" t="str">
        <f t="shared" si="5"/>
        <v/>
      </c>
      <c r="AE18" s="46" t="str">
        <f t="shared" si="6"/>
        <v/>
      </c>
      <c r="AF18" s="49"/>
    </row>
    <row r="19" ht="21.75" customHeight="1">
      <c r="A19" s="29">
        <v>14.0</v>
      </c>
      <c r="B19" s="29"/>
      <c r="C19" s="29"/>
      <c r="D19" s="29"/>
      <c r="E19" s="29"/>
      <c r="F19" s="29"/>
      <c r="G19" s="29"/>
      <c r="H19" s="29"/>
      <c r="I19" s="29"/>
      <c r="J19" s="29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31"/>
      <c r="W19" s="29"/>
      <c r="X19" s="45"/>
      <c r="Y19" s="29"/>
      <c r="Z19" s="46" t="str">
        <f t="shared" si="1"/>
        <v/>
      </c>
      <c r="AA19" s="46" t="str">
        <f t="shared" si="2"/>
        <v/>
      </c>
      <c r="AB19" s="47" t="str">
        <f t="shared" si="3"/>
        <v/>
      </c>
      <c r="AC19" s="47" t="str">
        <f t="shared" si="4"/>
        <v/>
      </c>
      <c r="AD19" s="48" t="str">
        <f t="shared" si="5"/>
        <v/>
      </c>
      <c r="AE19" s="46" t="str">
        <f t="shared" si="6"/>
        <v/>
      </c>
      <c r="AF19" s="49"/>
    </row>
    <row r="20" ht="21.75" customHeight="1">
      <c r="A20" s="29">
        <v>15.0</v>
      </c>
      <c r="B20" s="29"/>
      <c r="C20" s="29"/>
      <c r="D20" s="29"/>
      <c r="E20" s="29"/>
      <c r="F20" s="29"/>
      <c r="G20" s="29"/>
      <c r="H20" s="29"/>
      <c r="I20" s="29"/>
      <c r="J20" s="29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31"/>
      <c r="W20" s="29"/>
      <c r="X20" s="45"/>
      <c r="Y20" s="29"/>
      <c r="Z20" s="46" t="str">
        <f t="shared" si="1"/>
        <v/>
      </c>
      <c r="AA20" s="46" t="str">
        <f t="shared" si="2"/>
        <v/>
      </c>
      <c r="AB20" s="47" t="str">
        <f t="shared" si="3"/>
        <v/>
      </c>
      <c r="AC20" s="47" t="str">
        <f t="shared" si="4"/>
        <v/>
      </c>
      <c r="AD20" s="48" t="str">
        <f t="shared" si="5"/>
        <v/>
      </c>
      <c r="AE20" s="46" t="str">
        <f t="shared" si="6"/>
        <v/>
      </c>
      <c r="AF20" s="49"/>
    </row>
    <row r="21" ht="21.75" customHeight="1">
      <c r="A21" s="29">
        <v>16.0</v>
      </c>
      <c r="B21" s="29"/>
      <c r="C21" s="29"/>
      <c r="D21" s="29"/>
      <c r="E21" s="29"/>
      <c r="F21" s="29"/>
      <c r="G21" s="29"/>
      <c r="H21" s="29"/>
      <c r="I21" s="29"/>
      <c r="J21" s="29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31"/>
      <c r="W21" s="29"/>
      <c r="X21" s="45"/>
      <c r="Y21" s="29"/>
      <c r="Z21" s="46" t="str">
        <f t="shared" si="1"/>
        <v/>
      </c>
      <c r="AA21" s="46" t="str">
        <f t="shared" si="2"/>
        <v/>
      </c>
      <c r="AB21" s="47" t="str">
        <f t="shared" si="3"/>
        <v/>
      </c>
      <c r="AC21" s="47" t="str">
        <f t="shared" si="4"/>
        <v/>
      </c>
      <c r="AD21" s="48" t="str">
        <f t="shared" si="5"/>
        <v/>
      </c>
      <c r="AE21" s="46" t="str">
        <f t="shared" si="6"/>
        <v/>
      </c>
      <c r="AF21" s="49"/>
    </row>
    <row r="22" ht="21.75" customHeight="1">
      <c r="A22" s="29">
        <v>17.0</v>
      </c>
      <c r="B22" s="29"/>
      <c r="C22" s="29"/>
      <c r="D22" s="29"/>
      <c r="E22" s="29"/>
      <c r="F22" s="29"/>
      <c r="G22" s="29"/>
      <c r="H22" s="29"/>
      <c r="I22" s="29"/>
      <c r="J22" s="29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31"/>
      <c r="W22" s="29"/>
      <c r="X22" s="45"/>
      <c r="Y22" s="29"/>
      <c r="Z22" s="46" t="str">
        <f t="shared" si="1"/>
        <v/>
      </c>
      <c r="AA22" s="46" t="str">
        <f t="shared" si="2"/>
        <v/>
      </c>
      <c r="AB22" s="47" t="str">
        <f t="shared" si="3"/>
        <v/>
      </c>
      <c r="AC22" s="47" t="str">
        <f t="shared" si="4"/>
        <v/>
      </c>
      <c r="AD22" s="48" t="str">
        <f t="shared" si="5"/>
        <v/>
      </c>
      <c r="AE22" s="46" t="str">
        <f t="shared" si="6"/>
        <v/>
      </c>
      <c r="AF22" s="49"/>
    </row>
    <row r="23" ht="21.75" customHeight="1">
      <c r="A23" s="29">
        <v>18.0</v>
      </c>
      <c r="B23" s="29"/>
      <c r="C23" s="29"/>
      <c r="D23" s="29"/>
      <c r="E23" s="29"/>
      <c r="F23" s="29"/>
      <c r="G23" s="29"/>
      <c r="H23" s="29"/>
      <c r="I23" s="29"/>
      <c r="J23" s="29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31"/>
      <c r="W23" s="29"/>
      <c r="X23" s="45"/>
      <c r="Y23" s="29"/>
      <c r="Z23" s="46" t="str">
        <f t="shared" si="1"/>
        <v/>
      </c>
      <c r="AA23" s="46" t="str">
        <f t="shared" si="2"/>
        <v/>
      </c>
      <c r="AB23" s="47" t="str">
        <f t="shared" si="3"/>
        <v/>
      </c>
      <c r="AC23" s="47" t="str">
        <f t="shared" si="4"/>
        <v/>
      </c>
      <c r="AD23" s="48" t="str">
        <f t="shared" si="5"/>
        <v/>
      </c>
      <c r="AE23" s="46" t="str">
        <f t="shared" si="6"/>
        <v/>
      </c>
      <c r="AF23" s="49"/>
    </row>
    <row r="24" ht="21.75" customHeight="1">
      <c r="A24" s="29">
        <v>19.0</v>
      </c>
      <c r="B24" s="29"/>
      <c r="C24" s="29"/>
      <c r="D24" s="29"/>
      <c r="E24" s="29"/>
      <c r="F24" s="29"/>
      <c r="G24" s="29"/>
      <c r="H24" s="29"/>
      <c r="I24" s="29"/>
      <c r="J24" s="29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31"/>
      <c r="W24" s="29"/>
      <c r="X24" s="45"/>
      <c r="Y24" s="29"/>
      <c r="Z24" s="46" t="str">
        <f t="shared" si="1"/>
        <v/>
      </c>
      <c r="AA24" s="46" t="str">
        <f t="shared" si="2"/>
        <v/>
      </c>
      <c r="AB24" s="47" t="str">
        <f t="shared" si="3"/>
        <v/>
      </c>
      <c r="AC24" s="47" t="str">
        <f t="shared" si="4"/>
        <v/>
      </c>
      <c r="AD24" s="48" t="str">
        <f t="shared" si="5"/>
        <v/>
      </c>
      <c r="AE24" s="46" t="str">
        <f t="shared" si="6"/>
        <v/>
      </c>
      <c r="AF24" s="49"/>
    </row>
    <row r="25" ht="21.75" customHeight="1">
      <c r="A25" s="29">
        <v>20.0</v>
      </c>
      <c r="B25" s="29"/>
      <c r="C25" s="29"/>
      <c r="D25" s="29"/>
      <c r="E25" s="29"/>
      <c r="F25" s="29"/>
      <c r="G25" s="29"/>
      <c r="H25" s="29"/>
      <c r="I25" s="29"/>
      <c r="J25" s="29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31"/>
      <c r="W25" s="29"/>
      <c r="X25" s="45"/>
      <c r="Y25" s="29"/>
      <c r="Z25" s="46" t="str">
        <f t="shared" si="1"/>
        <v/>
      </c>
      <c r="AA25" s="46" t="str">
        <f t="shared" si="2"/>
        <v/>
      </c>
      <c r="AB25" s="47" t="str">
        <f t="shared" si="3"/>
        <v/>
      </c>
      <c r="AC25" s="47" t="str">
        <f t="shared" si="4"/>
        <v/>
      </c>
      <c r="AD25" s="48" t="str">
        <f t="shared" si="5"/>
        <v/>
      </c>
      <c r="AE25" s="46" t="str">
        <f t="shared" si="6"/>
        <v/>
      </c>
      <c r="AF25" s="49"/>
    </row>
    <row r="26" ht="21.75" customHeight="1">
      <c r="A26" s="29">
        <v>21.0</v>
      </c>
      <c r="B26" s="29"/>
      <c r="C26" s="29"/>
      <c r="D26" s="29"/>
      <c r="E26" s="29"/>
      <c r="F26" s="29"/>
      <c r="G26" s="29"/>
      <c r="H26" s="29"/>
      <c r="I26" s="29"/>
      <c r="J26" s="29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31"/>
      <c r="W26" s="29"/>
      <c r="X26" s="45"/>
      <c r="Y26" s="29"/>
      <c r="Z26" s="46" t="str">
        <f t="shared" si="1"/>
        <v/>
      </c>
      <c r="AA26" s="46" t="str">
        <f t="shared" si="2"/>
        <v/>
      </c>
      <c r="AB26" s="47" t="str">
        <f t="shared" si="3"/>
        <v/>
      </c>
      <c r="AC26" s="47" t="str">
        <f t="shared" si="4"/>
        <v/>
      </c>
      <c r="AD26" s="48" t="str">
        <f t="shared" si="5"/>
        <v/>
      </c>
      <c r="AE26" s="46" t="str">
        <f t="shared" si="6"/>
        <v/>
      </c>
      <c r="AF26" s="49"/>
    </row>
    <row r="27" ht="21.75" customHeight="1">
      <c r="A27" s="29">
        <v>22.0</v>
      </c>
      <c r="B27" s="29"/>
      <c r="C27" s="29"/>
      <c r="D27" s="29"/>
      <c r="E27" s="29"/>
      <c r="F27" s="29"/>
      <c r="G27" s="29"/>
      <c r="H27" s="29"/>
      <c r="I27" s="29"/>
      <c r="J27" s="29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31"/>
      <c r="W27" s="29"/>
      <c r="X27" s="45"/>
      <c r="Y27" s="29"/>
      <c r="Z27" s="46" t="str">
        <f t="shared" si="1"/>
        <v/>
      </c>
      <c r="AA27" s="46" t="str">
        <f t="shared" si="2"/>
        <v/>
      </c>
      <c r="AB27" s="47" t="str">
        <f t="shared" si="3"/>
        <v/>
      </c>
      <c r="AC27" s="47" t="str">
        <f t="shared" si="4"/>
        <v/>
      </c>
      <c r="AD27" s="48" t="str">
        <f t="shared" si="5"/>
        <v/>
      </c>
      <c r="AE27" s="46" t="str">
        <f t="shared" si="6"/>
        <v/>
      </c>
      <c r="AF27" s="49"/>
    </row>
    <row r="28" ht="21.75" customHeight="1">
      <c r="A28" s="29">
        <v>23.0</v>
      </c>
      <c r="B28" s="29"/>
      <c r="C28" s="29"/>
      <c r="D28" s="29"/>
      <c r="E28" s="29"/>
      <c r="F28" s="29"/>
      <c r="G28" s="29"/>
      <c r="H28" s="29"/>
      <c r="I28" s="29"/>
      <c r="J28" s="29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31"/>
      <c r="W28" s="29"/>
      <c r="X28" s="45"/>
      <c r="Y28" s="29"/>
      <c r="Z28" s="46" t="str">
        <f t="shared" si="1"/>
        <v/>
      </c>
      <c r="AA28" s="46" t="str">
        <f t="shared" si="2"/>
        <v/>
      </c>
      <c r="AB28" s="47" t="str">
        <f t="shared" si="3"/>
        <v/>
      </c>
      <c r="AC28" s="47" t="str">
        <f t="shared" si="4"/>
        <v/>
      </c>
      <c r="AD28" s="48" t="str">
        <f t="shared" si="5"/>
        <v/>
      </c>
      <c r="AE28" s="46" t="str">
        <f t="shared" si="6"/>
        <v/>
      </c>
      <c r="AF28" s="49"/>
    </row>
    <row r="29" ht="21.75" customHeight="1">
      <c r="A29" s="29">
        <v>24.0</v>
      </c>
      <c r="B29" s="29"/>
      <c r="C29" s="29"/>
      <c r="D29" s="29"/>
      <c r="E29" s="29"/>
      <c r="F29" s="29"/>
      <c r="G29" s="29"/>
      <c r="H29" s="29"/>
      <c r="I29" s="29"/>
      <c r="J29" s="29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31"/>
      <c r="W29" s="29"/>
      <c r="X29" s="45"/>
      <c r="Y29" s="29"/>
      <c r="Z29" s="46" t="str">
        <f t="shared" si="1"/>
        <v/>
      </c>
      <c r="AA29" s="46" t="str">
        <f t="shared" si="2"/>
        <v/>
      </c>
      <c r="AB29" s="47" t="str">
        <f t="shared" si="3"/>
        <v/>
      </c>
      <c r="AC29" s="47" t="str">
        <f t="shared" si="4"/>
        <v/>
      </c>
      <c r="AD29" s="48" t="str">
        <f t="shared" si="5"/>
        <v/>
      </c>
      <c r="AE29" s="46" t="str">
        <f t="shared" si="6"/>
        <v/>
      </c>
      <c r="AF29" s="49"/>
    </row>
    <row r="30" ht="21.75" customHeight="1">
      <c r="A30" s="29">
        <v>25.0</v>
      </c>
      <c r="B30" s="29"/>
      <c r="C30" s="29"/>
      <c r="D30" s="29"/>
      <c r="E30" s="29"/>
      <c r="F30" s="29"/>
      <c r="G30" s="29"/>
      <c r="H30" s="29"/>
      <c r="I30" s="29"/>
      <c r="J30" s="29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31"/>
      <c r="W30" s="29"/>
      <c r="X30" s="45"/>
      <c r="Y30" s="29"/>
      <c r="Z30" s="46" t="str">
        <f t="shared" si="1"/>
        <v/>
      </c>
      <c r="AA30" s="46" t="str">
        <f t="shared" si="2"/>
        <v/>
      </c>
      <c r="AB30" s="47" t="str">
        <f t="shared" si="3"/>
        <v/>
      </c>
      <c r="AC30" s="47" t="str">
        <f t="shared" si="4"/>
        <v/>
      </c>
      <c r="AD30" s="48" t="str">
        <f t="shared" si="5"/>
        <v/>
      </c>
      <c r="AE30" s="46" t="str">
        <f t="shared" si="6"/>
        <v/>
      </c>
      <c r="AF30" s="49"/>
    </row>
    <row r="31" ht="21.75" customHeight="1">
      <c r="A31" s="29">
        <v>26.0</v>
      </c>
      <c r="B31" s="29"/>
      <c r="C31" s="29"/>
      <c r="D31" s="29"/>
      <c r="E31" s="29"/>
      <c r="F31" s="29"/>
      <c r="G31" s="29"/>
      <c r="H31" s="29"/>
      <c r="I31" s="29"/>
      <c r="J31" s="29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31"/>
      <c r="W31" s="29"/>
      <c r="X31" s="45"/>
      <c r="Y31" s="29"/>
      <c r="Z31" s="46" t="str">
        <f t="shared" si="1"/>
        <v/>
      </c>
      <c r="AA31" s="46" t="str">
        <f t="shared" si="2"/>
        <v/>
      </c>
      <c r="AB31" s="47" t="str">
        <f t="shared" si="3"/>
        <v/>
      </c>
      <c r="AC31" s="47" t="str">
        <f t="shared" si="4"/>
        <v/>
      </c>
      <c r="AD31" s="48" t="str">
        <f t="shared" si="5"/>
        <v/>
      </c>
      <c r="AE31" s="46" t="str">
        <f t="shared" si="6"/>
        <v/>
      </c>
      <c r="AF31" s="49"/>
    </row>
    <row r="32" ht="21.75" customHeight="1">
      <c r="A32" s="29">
        <v>27.0</v>
      </c>
      <c r="B32" s="29"/>
      <c r="C32" s="29"/>
      <c r="D32" s="29"/>
      <c r="E32" s="29"/>
      <c r="F32" s="29"/>
      <c r="G32" s="29"/>
      <c r="H32" s="29"/>
      <c r="I32" s="29"/>
      <c r="J32" s="29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31"/>
      <c r="W32" s="29"/>
      <c r="X32" s="45"/>
      <c r="Y32" s="29"/>
      <c r="Z32" s="46" t="str">
        <f t="shared" si="1"/>
        <v/>
      </c>
      <c r="AA32" s="46" t="str">
        <f t="shared" si="2"/>
        <v/>
      </c>
      <c r="AB32" s="47" t="str">
        <f t="shared" si="3"/>
        <v/>
      </c>
      <c r="AC32" s="47" t="str">
        <f t="shared" si="4"/>
        <v/>
      </c>
      <c r="AD32" s="48" t="str">
        <f t="shared" si="5"/>
        <v/>
      </c>
      <c r="AE32" s="46" t="str">
        <f t="shared" si="6"/>
        <v/>
      </c>
      <c r="AF32" s="49"/>
    </row>
    <row r="33" ht="21.75" customHeight="1">
      <c r="A33" s="29">
        <v>28.0</v>
      </c>
      <c r="B33" s="29"/>
      <c r="C33" s="29"/>
      <c r="D33" s="29"/>
      <c r="E33" s="29"/>
      <c r="F33" s="29"/>
      <c r="G33" s="29"/>
      <c r="H33" s="29"/>
      <c r="I33" s="29"/>
      <c r="J33" s="29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31"/>
      <c r="W33" s="29"/>
      <c r="X33" s="45"/>
      <c r="Y33" s="29"/>
      <c r="Z33" s="46" t="str">
        <f t="shared" si="1"/>
        <v/>
      </c>
      <c r="AA33" s="46" t="str">
        <f t="shared" si="2"/>
        <v/>
      </c>
      <c r="AB33" s="47" t="str">
        <f t="shared" si="3"/>
        <v/>
      </c>
      <c r="AC33" s="47" t="str">
        <f t="shared" si="4"/>
        <v/>
      </c>
      <c r="AD33" s="48" t="str">
        <f t="shared" si="5"/>
        <v/>
      </c>
      <c r="AE33" s="46" t="str">
        <f t="shared" si="6"/>
        <v/>
      </c>
      <c r="AF33" s="49"/>
    </row>
    <row r="34" ht="21.75" customHeight="1">
      <c r="A34" s="29">
        <v>29.0</v>
      </c>
      <c r="B34" s="29"/>
      <c r="C34" s="29"/>
      <c r="D34" s="29"/>
      <c r="E34" s="29"/>
      <c r="F34" s="29"/>
      <c r="G34" s="29"/>
      <c r="H34" s="29"/>
      <c r="I34" s="29"/>
      <c r="J34" s="29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31"/>
      <c r="W34" s="29"/>
      <c r="X34" s="45"/>
      <c r="Y34" s="29"/>
      <c r="Z34" s="46" t="str">
        <f t="shared" si="1"/>
        <v/>
      </c>
      <c r="AA34" s="46" t="str">
        <f t="shared" si="2"/>
        <v/>
      </c>
      <c r="AB34" s="47" t="str">
        <f t="shared" si="3"/>
        <v/>
      </c>
      <c r="AC34" s="47" t="str">
        <f t="shared" si="4"/>
        <v/>
      </c>
      <c r="AD34" s="48" t="str">
        <f t="shared" si="5"/>
        <v/>
      </c>
      <c r="AE34" s="46" t="str">
        <f t="shared" si="6"/>
        <v/>
      </c>
      <c r="AF34" s="49"/>
    </row>
    <row r="35" ht="21.75" customHeight="1">
      <c r="A35" s="29">
        <v>30.0</v>
      </c>
      <c r="B35" s="29"/>
      <c r="C35" s="29"/>
      <c r="D35" s="29"/>
      <c r="E35" s="29"/>
      <c r="F35" s="29"/>
      <c r="G35" s="29"/>
      <c r="H35" s="29"/>
      <c r="I35" s="29"/>
      <c r="J35" s="29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31"/>
      <c r="W35" s="29"/>
      <c r="X35" s="45"/>
      <c r="Y35" s="29"/>
      <c r="Z35" s="46" t="str">
        <f t="shared" si="1"/>
        <v/>
      </c>
      <c r="AA35" s="46" t="str">
        <f t="shared" si="2"/>
        <v/>
      </c>
      <c r="AB35" s="47" t="str">
        <f t="shared" si="3"/>
        <v/>
      </c>
      <c r="AC35" s="47" t="str">
        <f t="shared" si="4"/>
        <v/>
      </c>
      <c r="AD35" s="48" t="str">
        <f t="shared" si="5"/>
        <v/>
      </c>
      <c r="AE35" s="46" t="str">
        <f t="shared" si="6"/>
        <v/>
      </c>
      <c r="AF35" s="49"/>
    </row>
    <row r="36" ht="21.75" customHeight="1">
      <c r="A36" s="29">
        <v>31.0</v>
      </c>
      <c r="B36" s="29"/>
      <c r="C36" s="29"/>
      <c r="D36" s="29"/>
      <c r="E36" s="29"/>
      <c r="F36" s="29"/>
      <c r="G36" s="29"/>
      <c r="H36" s="29"/>
      <c r="I36" s="29"/>
      <c r="J36" s="29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31"/>
      <c r="W36" s="29"/>
      <c r="X36" s="45"/>
      <c r="Y36" s="29"/>
      <c r="Z36" s="46" t="str">
        <f t="shared" si="1"/>
        <v/>
      </c>
      <c r="AA36" s="46" t="str">
        <f t="shared" si="2"/>
        <v/>
      </c>
      <c r="AB36" s="47" t="str">
        <f t="shared" si="3"/>
        <v/>
      </c>
      <c r="AC36" s="47" t="str">
        <f t="shared" si="4"/>
        <v/>
      </c>
      <c r="AD36" s="48" t="str">
        <f t="shared" si="5"/>
        <v/>
      </c>
      <c r="AE36" s="46" t="str">
        <f t="shared" si="6"/>
        <v/>
      </c>
      <c r="AF36" s="49"/>
    </row>
    <row r="37" ht="21.75" customHeight="1">
      <c r="A37" s="29">
        <v>32.0</v>
      </c>
      <c r="B37" s="29"/>
      <c r="C37" s="29"/>
      <c r="D37" s="29"/>
      <c r="E37" s="29"/>
      <c r="F37" s="29"/>
      <c r="G37" s="29"/>
      <c r="H37" s="29"/>
      <c r="I37" s="29"/>
      <c r="J37" s="29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31"/>
      <c r="W37" s="29"/>
      <c r="X37" s="45"/>
      <c r="Y37" s="29"/>
      <c r="Z37" s="46" t="str">
        <f t="shared" si="1"/>
        <v/>
      </c>
      <c r="AA37" s="46" t="str">
        <f t="shared" si="2"/>
        <v/>
      </c>
      <c r="AB37" s="47" t="str">
        <f t="shared" si="3"/>
        <v/>
      </c>
      <c r="AC37" s="47" t="str">
        <f t="shared" si="4"/>
        <v/>
      </c>
      <c r="AD37" s="48" t="str">
        <f t="shared" si="5"/>
        <v/>
      </c>
      <c r="AE37" s="46" t="str">
        <f t="shared" si="6"/>
        <v/>
      </c>
      <c r="AF37" s="49"/>
    </row>
    <row r="38" ht="21.75" customHeight="1">
      <c r="A38" s="29">
        <v>33.0</v>
      </c>
      <c r="B38" s="29"/>
      <c r="C38" s="29"/>
      <c r="D38" s="29"/>
      <c r="E38" s="29"/>
      <c r="F38" s="29"/>
      <c r="G38" s="29"/>
      <c r="H38" s="29"/>
      <c r="I38" s="29"/>
      <c r="J38" s="29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31"/>
      <c r="W38" s="29"/>
      <c r="X38" s="45"/>
      <c r="Y38" s="29"/>
      <c r="Z38" s="46" t="str">
        <f t="shared" si="1"/>
        <v/>
      </c>
      <c r="AA38" s="46" t="str">
        <f t="shared" si="2"/>
        <v/>
      </c>
      <c r="AB38" s="47" t="str">
        <f t="shared" si="3"/>
        <v/>
      </c>
      <c r="AC38" s="47" t="str">
        <f t="shared" si="4"/>
        <v/>
      </c>
      <c r="AD38" s="48" t="str">
        <f t="shared" si="5"/>
        <v/>
      </c>
      <c r="AE38" s="46" t="str">
        <f t="shared" si="6"/>
        <v/>
      </c>
      <c r="AF38" s="49"/>
    </row>
    <row r="39" ht="21.75" customHeight="1">
      <c r="A39" s="29">
        <v>34.0</v>
      </c>
      <c r="B39" s="29"/>
      <c r="C39" s="29"/>
      <c r="D39" s="29"/>
      <c r="E39" s="29"/>
      <c r="F39" s="29"/>
      <c r="G39" s="29"/>
      <c r="H39" s="29"/>
      <c r="I39" s="29"/>
      <c r="J39" s="29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31"/>
      <c r="W39" s="29"/>
      <c r="X39" s="45"/>
      <c r="Y39" s="29"/>
      <c r="Z39" s="46" t="str">
        <f t="shared" si="1"/>
        <v/>
      </c>
      <c r="AA39" s="46" t="str">
        <f t="shared" si="2"/>
        <v/>
      </c>
      <c r="AB39" s="47" t="str">
        <f t="shared" si="3"/>
        <v/>
      </c>
      <c r="AC39" s="47" t="str">
        <f t="shared" si="4"/>
        <v/>
      </c>
      <c r="AD39" s="48" t="str">
        <f t="shared" si="5"/>
        <v/>
      </c>
      <c r="AE39" s="46" t="str">
        <f t="shared" si="6"/>
        <v/>
      </c>
      <c r="AF39" s="49"/>
    </row>
    <row r="40" ht="21.75" customHeight="1">
      <c r="A40" s="29">
        <v>35.0</v>
      </c>
      <c r="B40" s="29"/>
      <c r="C40" s="29"/>
      <c r="D40" s="29"/>
      <c r="E40" s="29"/>
      <c r="F40" s="29"/>
      <c r="G40" s="29"/>
      <c r="H40" s="29"/>
      <c r="I40" s="29"/>
      <c r="J40" s="29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31"/>
      <c r="W40" s="29"/>
      <c r="X40" s="45"/>
      <c r="Y40" s="29"/>
      <c r="Z40" s="46" t="str">
        <f t="shared" si="1"/>
        <v/>
      </c>
      <c r="AA40" s="46" t="str">
        <f t="shared" si="2"/>
        <v/>
      </c>
      <c r="AB40" s="47" t="str">
        <f t="shared" si="3"/>
        <v/>
      </c>
      <c r="AC40" s="47" t="str">
        <f t="shared" si="4"/>
        <v/>
      </c>
      <c r="AD40" s="48" t="str">
        <f t="shared" si="5"/>
        <v/>
      </c>
      <c r="AE40" s="46" t="str">
        <f t="shared" si="6"/>
        <v/>
      </c>
      <c r="AF40" s="49"/>
    </row>
    <row r="41" ht="21.75" customHeight="1">
      <c r="A41" s="29">
        <v>36.0</v>
      </c>
      <c r="B41" s="29"/>
      <c r="C41" s="29"/>
      <c r="D41" s="29"/>
      <c r="E41" s="29"/>
      <c r="F41" s="29"/>
      <c r="G41" s="29"/>
      <c r="H41" s="29"/>
      <c r="I41" s="29"/>
      <c r="J41" s="29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31"/>
      <c r="W41" s="29"/>
      <c r="X41" s="45"/>
      <c r="Y41" s="29"/>
      <c r="Z41" s="46" t="str">
        <f t="shared" si="1"/>
        <v/>
      </c>
      <c r="AA41" s="46" t="str">
        <f t="shared" si="2"/>
        <v/>
      </c>
      <c r="AB41" s="47" t="str">
        <f t="shared" si="3"/>
        <v/>
      </c>
      <c r="AC41" s="47" t="str">
        <f t="shared" si="4"/>
        <v/>
      </c>
      <c r="AD41" s="48" t="str">
        <f t="shared" si="5"/>
        <v/>
      </c>
      <c r="AE41" s="46" t="str">
        <f t="shared" si="6"/>
        <v/>
      </c>
      <c r="AF41" s="49"/>
    </row>
    <row r="42" ht="21.75" customHeight="1">
      <c r="A42" s="29">
        <v>37.0</v>
      </c>
      <c r="B42" s="29"/>
      <c r="C42" s="29"/>
      <c r="D42" s="29"/>
      <c r="E42" s="29"/>
      <c r="F42" s="29"/>
      <c r="G42" s="29"/>
      <c r="H42" s="29"/>
      <c r="I42" s="29"/>
      <c r="J42" s="29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31"/>
      <c r="W42" s="29"/>
      <c r="X42" s="45"/>
      <c r="Y42" s="29"/>
      <c r="Z42" s="46" t="str">
        <f t="shared" si="1"/>
        <v/>
      </c>
      <c r="AA42" s="46" t="str">
        <f t="shared" si="2"/>
        <v/>
      </c>
      <c r="AB42" s="47" t="str">
        <f t="shared" si="3"/>
        <v/>
      </c>
      <c r="AC42" s="47" t="str">
        <f t="shared" si="4"/>
        <v/>
      </c>
      <c r="AD42" s="48" t="str">
        <f t="shared" si="5"/>
        <v/>
      </c>
      <c r="AE42" s="46" t="str">
        <f t="shared" si="6"/>
        <v/>
      </c>
      <c r="AF42" s="49"/>
    </row>
    <row r="43" ht="21.75" customHeight="1">
      <c r="A43" s="29">
        <v>38.0</v>
      </c>
      <c r="B43" s="29"/>
      <c r="C43" s="29"/>
      <c r="D43" s="29"/>
      <c r="E43" s="29"/>
      <c r="F43" s="29"/>
      <c r="G43" s="29"/>
      <c r="H43" s="29"/>
      <c r="I43" s="29"/>
      <c r="J43" s="29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31"/>
      <c r="W43" s="29"/>
      <c r="X43" s="45"/>
      <c r="Y43" s="29"/>
      <c r="Z43" s="46" t="str">
        <f t="shared" si="1"/>
        <v/>
      </c>
      <c r="AA43" s="46" t="str">
        <f t="shared" si="2"/>
        <v/>
      </c>
      <c r="AB43" s="47" t="str">
        <f t="shared" si="3"/>
        <v/>
      </c>
      <c r="AC43" s="47" t="str">
        <f t="shared" si="4"/>
        <v/>
      </c>
      <c r="AD43" s="48" t="str">
        <f t="shared" si="5"/>
        <v/>
      </c>
      <c r="AE43" s="46" t="str">
        <f t="shared" si="6"/>
        <v/>
      </c>
      <c r="AF43" s="49"/>
    </row>
    <row r="44" ht="21.75" customHeight="1">
      <c r="A44" s="29">
        <v>39.0</v>
      </c>
      <c r="B44" s="29"/>
      <c r="C44" s="29"/>
      <c r="D44" s="29"/>
      <c r="E44" s="29"/>
      <c r="F44" s="29"/>
      <c r="G44" s="29"/>
      <c r="H44" s="29"/>
      <c r="I44" s="29"/>
      <c r="J44" s="29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31"/>
      <c r="W44" s="29"/>
      <c r="X44" s="45"/>
      <c r="Y44" s="29"/>
      <c r="Z44" s="46" t="str">
        <f t="shared" si="1"/>
        <v/>
      </c>
      <c r="AA44" s="46" t="str">
        <f t="shared" si="2"/>
        <v/>
      </c>
      <c r="AB44" s="47" t="str">
        <f t="shared" si="3"/>
        <v/>
      </c>
      <c r="AC44" s="47" t="str">
        <f t="shared" si="4"/>
        <v/>
      </c>
      <c r="AD44" s="48" t="str">
        <f t="shared" si="5"/>
        <v/>
      </c>
      <c r="AE44" s="46" t="str">
        <f t="shared" si="6"/>
        <v/>
      </c>
      <c r="AF44" s="49"/>
    </row>
    <row r="45" ht="21.75" customHeight="1">
      <c r="A45" s="29">
        <v>40.0</v>
      </c>
      <c r="B45" s="29"/>
      <c r="C45" s="29"/>
      <c r="D45" s="29"/>
      <c r="E45" s="29"/>
      <c r="F45" s="29"/>
      <c r="G45" s="29"/>
      <c r="H45" s="29"/>
      <c r="I45" s="29"/>
      <c r="J45" s="29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31"/>
      <c r="W45" s="29"/>
      <c r="X45" s="45"/>
      <c r="Y45" s="29"/>
      <c r="Z45" s="46" t="str">
        <f t="shared" si="1"/>
        <v/>
      </c>
      <c r="AA45" s="46" t="str">
        <f t="shared" si="2"/>
        <v/>
      </c>
      <c r="AB45" s="47" t="str">
        <f t="shared" si="3"/>
        <v/>
      </c>
      <c r="AC45" s="47" t="str">
        <f t="shared" si="4"/>
        <v/>
      </c>
      <c r="AD45" s="48" t="str">
        <f t="shared" si="5"/>
        <v/>
      </c>
      <c r="AE45" s="46" t="str">
        <f t="shared" si="6"/>
        <v/>
      </c>
      <c r="AF45" s="49"/>
    </row>
    <row r="46" ht="21.75" customHeight="1">
      <c r="A46" s="29">
        <v>41.0</v>
      </c>
      <c r="B46" s="29"/>
      <c r="C46" s="29"/>
      <c r="D46" s="29"/>
      <c r="E46" s="29"/>
      <c r="F46" s="29"/>
      <c r="G46" s="29"/>
      <c r="H46" s="29"/>
      <c r="I46" s="29"/>
      <c r="J46" s="29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31"/>
      <c r="W46" s="29"/>
      <c r="X46" s="45"/>
      <c r="Y46" s="29"/>
      <c r="Z46" s="46" t="str">
        <f t="shared" si="1"/>
        <v/>
      </c>
      <c r="AA46" s="46" t="str">
        <f t="shared" si="2"/>
        <v/>
      </c>
      <c r="AB46" s="47" t="str">
        <f t="shared" si="3"/>
        <v/>
      </c>
      <c r="AC46" s="47" t="str">
        <f t="shared" si="4"/>
        <v/>
      </c>
      <c r="AD46" s="48" t="str">
        <f t="shared" si="5"/>
        <v/>
      </c>
      <c r="AE46" s="46" t="str">
        <f t="shared" si="6"/>
        <v/>
      </c>
      <c r="AF46" s="49"/>
    </row>
    <row r="47" ht="21.75" customHeight="1">
      <c r="A47" s="29">
        <v>42.0</v>
      </c>
      <c r="B47" s="29"/>
      <c r="C47" s="29"/>
      <c r="D47" s="29"/>
      <c r="E47" s="29"/>
      <c r="F47" s="29"/>
      <c r="G47" s="29"/>
      <c r="H47" s="29"/>
      <c r="I47" s="29"/>
      <c r="J47" s="29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31"/>
      <c r="W47" s="29"/>
      <c r="X47" s="45"/>
      <c r="Y47" s="29"/>
      <c r="Z47" s="46" t="str">
        <f t="shared" si="1"/>
        <v/>
      </c>
      <c r="AA47" s="46" t="str">
        <f t="shared" si="2"/>
        <v/>
      </c>
      <c r="AB47" s="47" t="str">
        <f t="shared" si="3"/>
        <v/>
      </c>
      <c r="AC47" s="47" t="str">
        <f t="shared" si="4"/>
        <v/>
      </c>
      <c r="AD47" s="48" t="str">
        <f t="shared" si="5"/>
        <v/>
      </c>
      <c r="AE47" s="46" t="str">
        <f t="shared" si="6"/>
        <v/>
      </c>
      <c r="AF47" s="49"/>
    </row>
    <row r="48" ht="21.75" customHeight="1">
      <c r="A48" s="29">
        <v>43.0</v>
      </c>
      <c r="B48" s="29"/>
      <c r="C48" s="29"/>
      <c r="D48" s="29"/>
      <c r="E48" s="29"/>
      <c r="F48" s="29"/>
      <c r="G48" s="29"/>
      <c r="H48" s="29"/>
      <c r="I48" s="29"/>
      <c r="J48" s="29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31"/>
      <c r="W48" s="29"/>
      <c r="X48" s="45"/>
      <c r="Y48" s="29"/>
      <c r="Z48" s="46" t="str">
        <f t="shared" si="1"/>
        <v/>
      </c>
      <c r="AA48" s="46" t="str">
        <f t="shared" si="2"/>
        <v/>
      </c>
      <c r="AB48" s="47" t="str">
        <f t="shared" si="3"/>
        <v/>
      </c>
      <c r="AC48" s="47" t="str">
        <f t="shared" si="4"/>
        <v/>
      </c>
      <c r="AD48" s="48" t="str">
        <f t="shared" si="5"/>
        <v/>
      </c>
      <c r="AE48" s="46" t="str">
        <f t="shared" si="6"/>
        <v/>
      </c>
      <c r="AF48" s="49"/>
    </row>
    <row r="49" ht="21.75" customHeight="1">
      <c r="A49" s="29">
        <v>44.0</v>
      </c>
      <c r="B49" s="29"/>
      <c r="C49" s="29"/>
      <c r="D49" s="29"/>
      <c r="E49" s="29"/>
      <c r="F49" s="29"/>
      <c r="G49" s="29"/>
      <c r="H49" s="29"/>
      <c r="I49" s="29"/>
      <c r="J49" s="29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31"/>
      <c r="W49" s="29"/>
      <c r="X49" s="45"/>
      <c r="Y49" s="29"/>
      <c r="Z49" s="46" t="str">
        <f t="shared" si="1"/>
        <v/>
      </c>
      <c r="AA49" s="46" t="str">
        <f t="shared" si="2"/>
        <v/>
      </c>
      <c r="AB49" s="47" t="str">
        <f t="shared" si="3"/>
        <v/>
      </c>
      <c r="AC49" s="47" t="str">
        <f t="shared" si="4"/>
        <v/>
      </c>
      <c r="AD49" s="48" t="str">
        <f t="shared" si="5"/>
        <v/>
      </c>
      <c r="AE49" s="46" t="str">
        <f t="shared" si="6"/>
        <v/>
      </c>
      <c r="AF49" s="49"/>
    </row>
    <row r="50" ht="21.75" customHeight="1">
      <c r="A50" s="29">
        <v>45.0</v>
      </c>
      <c r="B50" s="29"/>
      <c r="C50" s="29"/>
      <c r="D50" s="29"/>
      <c r="E50" s="29"/>
      <c r="F50" s="29"/>
      <c r="G50" s="29"/>
      <c r="H50" s="29"/>
      <c r="I50" s="29"/>
      <c r="J50" s="29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31"/>
      <c r="W50" s="29"/>
      <c r="X50" s="45"/>
      <c r="Y50" s="29"/>
      <c r="Z50" s="46" t="str">
        <f t="shared" si="1"/>
        <v/>
      </c>
      <c r="AA50" s="46" t="str">
        <f t="shared" si="2"/>
        <v/>
      </c>
      <c r="AB50" s="47" t="str">
        <f t="shared" si="3"/>
        <v/>
      </c>
      <c r="AC50" s="47" t="str">
        <f t="shared" si="4"/>
        <v/>
      </c>
      <c r="AD50" s="48" t="str">
        <f t="shared" si="5"/>
        <v/>
      </c>
      <c r="AE50" s="46" t="str">
        <f t="shared" si="6"/>
        <v/>
      </c>
      <c r="AF50" s="49"/>
    </row>
    <row r="51" ht="21.75" customHeight="1">
      <c r="A51" s="29">
        <v>46.0</v>
      </c>
      <c r="B51" s="29"/>
      <c r="C51" s="29"/>
      <c r="D51" s="29"/>
      <c r="E51" s="29"/>
      <c r="F51" s="29"/>
      <c r="G51" s="29"/>
      <c r="H51" s="29"/>
      <c r="I51" s="29"/>
      <c r="J51" s="29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31"/>
      <c r="W51" s="29"/>
      <c r="X51" s="45"/>
      <c r="Y51" s="29"/>
      <c r="Z51" s="46" t="str">
        <f t="shared" si="1"/>
        <v/>
      </c>
      <c r="AA51" s="46" t="str">
        <f t="shared" si="2"/>
        <v/>
      </c>
      <c r="AB51" s="47" t="str">
        <f t="shared" si="3"/>
        <v/>
      </c>
      <c r="AC51" s="47" t="str">
        <f t="shared" si="4"/>
        <v/>
      </c>
      <c r="AD51" s="48" t="str">
        <f t="shared" si="5"/>
        <v/>
      </c>
      <c r="AE51" s="46" t="str">
        <f t="shared" si="6"/>
        <v/>
      </c>
      <c r="AF51" s="49"/>
    </row>
    <row r="52" ht="21.75" customHeight="1">
      <c r="A52" s="29">
        <v>47.0</v>
      </c>
      <c r="B52" s="29"/>
      <c r="C52" s="29"/>
      <c r="D52" s="29"/>
      <c r="E52" s="29"/>
      <c r="F52" s="29"/>
      <c r="G52" s="29"/>
      <c r="H52" s="29"/>
      <c r="I52" s="29"/>
      <c r="J52" s="29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31"/>
      <c r="W52" s="29"/>
      <c r="X52" s="45"/>
      <c r="Y52" s="29"/>
      <c r="Z52" s="46" t="str">
        <f t="shared" si="1"/>
        <v/>
      </c>
      <c r="AA52" s="46" t="str">
        <f t="shared" si="2"/>
        <v/>
      </c>
      <c r="AB52" s="47" t="str">
        <f t="shared" si="3"/>
        <v/>
      </c>
      <c r="AC52" s="47" t="str">
        <f t="shared" si="4"/>
        <v/>
      </c>
      <c r="AD52" s="48" t="str">
        <f t="shared" si="5"/>
        <v/>
      </c>
      <c r="AE52" s="46" t="str">
        <f t="shared" si="6"/>
        <v/>
      </c>
      <c r="AF52" s="49"/>
    </row>
    <row r="53" ht="21.75" customHeight="1">
      <c r="A53" s="29">
        <v>48.0</v>
      </c>
      <c r="B53" s="29"/>
      <c r="C53" s="29"/>
      <c r="D53" s="29"/>
      <c r="E53" s="29"/>
      <c r="F53" s="29"/>
      <c r="G53" s="29"/>
      <c r="H53" s="29"/>
      <c r="I53" s="29"/>
      <c r="J53" s="29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31"/>
      <c r="W53" s="29"/>
      <c r="X53" s="45"/>
      <c r="Y53" s="29"/>
      <c r="Z53" s="46" t="str">
        <f t="shared" si="1"/>
        <v/>
      </c>
      <c r="AA53" s="46" t="str">
        <f t="shared" si="2"/>
        <v/>
      </c>
      <c r="AB53" s="47" t="str">
        <f t="shared" si="3"/>
        <v/>
      </c>
      <c r="AC53" s="47" t="str">
        <f t="shared" si="4"/>
        <v/>
      </c>
      <c r="AD53" s="48" t="str">
        <f t="shared" si="5"/>
        <v/>
      </c>
      <c r="AE53" s="46" t="str">
        <f t="shared" si="6"/>
        <v/>
      </c>
      <c r="AF53" s="49"/>
    </row>
    <row r="54" ht="21.75" customHeight="1">
      <c r="A54" s="29">
        <v>49.0</v>
      </c>
      <c r="B54" s="29"/>
      <c r="C54" s="29"/>
      <c r="D54" s="29"/>
      <c r="E54" s="29"/>
      <c r="F54" s="29"/>
      <c r="G54" s="29"/>
      <c r="H54" s="29"/>
      <c r="I54" s="29"/>
      <c r="J54" s="29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31"/>
      <c r="W54" s="29"/>
      <c r="X54" s="45"/>
      <c r="Y54" s="29"/>
      <c r="Z54" s="46" t="str">
        <f t="shared" si="1"/>
        <v/>
      </c>
      <c r="AA54" s="46" t="str">
        <f t="shared" si="2"/>
        <v/>
      </c>
      <c r="AB54" s="47" t="str">
        <f t="shared" si="3"/>
        <v/>
      </c>
      <c r="AC54" s="47" t="str">
        <f t="shared" si="4"/>
        <v/>
      </c>
      <c r="AD54" s="48" t="str">
        <f t="shared" si="5"/>
        <v/>
      </c>
      <c r="AE54" s="46" t="str">
        <f t="shared" si="6"/>
        <v/>
      </c>
      <c r="AF54" s="49"/>
    </row>
    <row r="55" ht="21.75" customHeight="1">
      <c r="A55" s="29">
        <v>50.0</v>
      </c>
      <c r="B55" s="29"/>
      <c r="C55" s="29"/>
      <c r="D55" s="29"/>
      <c r="E55" s="29"/>
      <c r="F55" s="29"/>
      <c r="G55" s="29"/>
      <c r="H55" s="29"/>
      <c r="I55" s="29"/>
      <c r="J55" s="29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31"/>
      <c r="W55" s="29"/>
      <c r="X55" s="45"/>
      <c r="Y55" s="29"/>
      <c r="Z55" s="46" t="str">
        <f t="shared" si="1"/>
        <v/>
      </c>
      <c r="AA55" s="46" t="str">
        <f t="shared" si="2"/>
        <v/>
      </c>
      <c r="AB55" s="47" t="str">
        <f t="shared" si="3"/>
        <v/>
      </c>
      <c r="AC55" s="47" t="str">
        <f t="shared" si="4"/>
        <v/>
      </c>
      <c r="AD55" s="48" t="str">
        <f t="shared" si="5"/>
        <v/>
      </c>
      <c r="AE55" s="46" t="str">
        <f t="shared" si="6"/>
        <v/>
      </c>
      <c r="AF55" s="49"/>
    </row>
    <row r="56" ht="21.75" customHeight="1">
      <c r="A56" s="29">
        <v>51.0</v>
      </c>
      <c r="B56" s="29"/>
      <c r="C56" s="29"/>
      <c r="D56" s="29"/>
      <c r="E56" s="29"/>
      <c r="F56" s="29"/>
      <c r="G56" s="29"/>
      <c r="H56" s="29"/>
      <c r="I56" s="29"/>
      <c r="J56" s="29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31"/>
      <c r="W56" s="29"/>
      <c r="X56" s="45"/>
      <c r="Y56" s="29"/>
      <c r="Z56" s="46" t="str">
        <f t="shared" si="1"/>
        <v/>
      </c>
      <c r="AA56" s="46" t="str">
        <f t="shared" si="2"/>
        <v/>
      </c>
      <c r="AB56" s="47" t="str">
        <f t="shared" si="3"/>
        <v/>
      </c>
      <c r="AC56" s="47" t="str">
        <f t="shared" si="4"/>
        <v/>
      </c>
      <c r="AD56" s="48" t="str">
        <f t="shared" si="5"/>
        <v/>
      </c>
      <c r="AE56" s="46" t="str">
        <f t="shared" si="6"/>
        <v/>
      </c>
      <c r="AF56" s="49"/>
    </row>
    <row r="57" ht="21.75" customHeight="1">
      <c r="A57" s="29">
        <v>52.0</v>
      </c>
      <c r="B57" s="29"/>
      <c r="C57" s="29"/>
      <c r="D57" s="29"/>
      <c r="E57" s="29"/>
      <c r="F57" s="29"/>
      <c r="G57" s="29"/>
      <c r="H57" s="29"/>
      <c r="I57" s="29"/>
      <c r="J57" s="29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31"/>
      <c r="W57" s="29"/>
      <c r="X57" s="45"/>
      <c r="Y57" s="29"/>
      <c r="Z57" s="46" t="str">
        <f t="shared" si="1"/>
        <v/>
      </c>
      <c r="AA57" s="46" t="str">
        <f t="shared" si="2"/>
        <v/>
      </c>
      <c r="AB57" s="47" t="str">
        <f t="shared" si="3"/>
        <v/>
      </c>
      <c r="AC57" s="47" t="str">
        <f t="shared" si="4"/>
        <v/>
      </c>
      <c r="AD57" s="48" t="str">
        <f t="shared" si="5"/>
        <v/>
      </c>
      <c r="AE57" s="46" t="str">
        <f t="shared" si="6"/>
        <v/>
      </c>
      <c r="AF57" s="49"/>
    </row>
    <row r="58" ht="21.75" customHeight="1">
      <c r="A58" s="29">
        <v>53.0</v>
      </c>
      <c r="B58" s="29"/>
      <c r="C58" s="29"/>
      <c r="D58" s="29"/>
      <c r="E58" s="29"/>
      <c r="F58" s="29"/>
      <c r="G58" s="29"/>
      <c r="H58" s="29"/>
      <c r="I58" s="29"/>
      <c r="J58" s="29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31"/>
      <c r="W58" s="29"/>
      <c r="X58" s="45"/>
      <c r="Y58" s="29"/>
      <c r="Z58" s="46" t="str">
        <f t="shared" si="1"/>
        <v/>
      </c>
      <c r="AA58" s="46" t="str">
        <f t="shared" si="2"/>
        <v/>
      </c>
      <c r="AB58" s="47" t="str">
        <f t="shared" si="3"/>
        <v/>
      </c>
      <c r="AC58" s="47" t="str">
        <f t="shared" si="4"/>
        <v/>
      </c>
      <c r="AD58" s="48" t="str">
        <f t="shared" si="5"/>
        <v/>
      </c>
      <c r="AE58" s="46" t="str">
        <f t="shared" si="6"/>
        <v/>
      </c>
      <c r="AF58" s="49"/>
    </row>
    <row r="59" ht="21.75" customHeight="1">
      <c r="A59" s="29">
        <v>54.0</v>
      </c>
      <c r="B59" s="29"/>
      <c r="C59" s="29"/>
      <c r="D59" s="29"/>
      <c r="E59" s="29"/>
      <c r="F59" s="29"/>
      <c r="G59" s="29"/>
      <c r="H59" s="29"/>
      <c r="I59" s="29"/>
      <c r="J59" s="29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31"/>
      <c r="W59" s="29"/>
      <c r="X59" s="45"/>
      <c r="Y59" s="29"/>
      <c r="Z59" s="46" t="str">
        <f t="shared" si="1"/>
        <v/>
      </c>
      <c r="AA59" s="46" t="str">
        <f t="shared" si="2"/>
        <v/>
      </c>
      <c r="AB59" s="47" t="str">
        <f t="shared" si="3"/>
        <v/>
      </c>
      <c r="AC59" s="47" t="str">
        <f t="shared" si="4"/>
        <v/>
      </c>
      <c r="AD59" s="48" t="str">
        <f t="shared" si="5"/>
        <v/>
      </c>
      <c r="AE59" s="46" t="str">
        <f t="shared" si="6"/>
        <v/>
      </c>
      <c r="AF59" s="49"/>
    </row>
    <row r="60" ht="21.75" customHeight="1">
      <c r="A60" s="29">
        <v>55.0</v>
      </c>
      <c r="B60" s="29"/>
      <c r="C60" s="29"/>
      <c r="D60" s="29"/>
      <c r="E60" s="29"/>
      <c r="F60" s="29"/>
      <c r="G60" s="29"/>
      <c r="H60" s="29"/>
      <c r="I60" s="29"/>
      <c r="J60" s="29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31"/>
      <c r="W60" s="29"/>
      <c r="X60" s="45"/>
      <c r="Y60" s="29"/>
      <c r="Z60" s="46" t="str">
        <f t="shared" si="1"/>
        <v/>
      </c>
      <c r="AA60" s="46" t="str">
        <f t="shared" si="2"/>
        <v/>
      </c>
      <c r="AB60" s="47" t="str">
        <f t="shared" si="3"/>
        <v/>
      </c>
      <c r="AC60" s="47" t="str">
        <f t="shared" si="4"/>
        <v/>
      </c>
      <c r="AD60" s="48" t="str">
        <f t="shared" si="5"/>
        <v/>
      </c>
      <c r="AE60" s="46" t="str">
        <f t="shared" si="6"/>
        <v/>
      </c>
      <c r="AF60" s="49"/>
    </row>
    <row r="61" ht="21.75" customHeight="1">
      <c r="A61" s="29">
        <v>56.0</v>
      </c>
      <c r="B61" s="29"/>
      <c r="C61" s="29"/>
      <c r="D61" s="29"/>
      <c r="E61" s="29"/>
      <c r="F61" s="29"/>
      <c r="G61" s="29"/>
      <c r="H61" s="29"/>
      <c r="I61" s="29"/>
      <c r="J61" s="29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31"/>
      <c r="W61" s="29"/>
      <c r="X61" s="45"/>
      <c r="Y61" s="29"/>
      <c r="Z61" s="46" t="str">
        <f t="shared" si="1"/>
        <v/>
      </c>
      <c r="AA61" s="46" t="str">
        <f t="shared" si="2"/>
        <v/>
      </c>
      <c r="AB61" s="47" t="str">
        <f t="shared" si="3"/>
        <v/>
      </c>
      <c r="AC61" s="47" t="str">
        <f t="shared" si="4"/>
        <v/>
      </c>
      <c r="AD61" s="48" t="str">
        <f t="shared" si="5"/>
        <v/>
      </c>
      <c r="AE61" s="46" t="str">
        <f t="shared" si="6"/>
        <v/>
      </c>
      <c r="AF61" s="49"/>
    </row>
    <row r="62" ht="21.75" customHeight="1">
      <c r="A62" s="29">
        <v>57.0</v>
      </c>
      <c r="B62" s="29"/>
      <c r="C62" s="29"/>
      <c r="D62" s="29"/>
      <c r="E62" s="29"/>
      <c r="F62" s="29"/>
      <c r="G62" s="29"/>
      <c r="H62" s="29"/>
      <c r="I62" s="29"/>
      <c r="J62" s="29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31"/>
      <c r="W62" s="29"/>
      <c r="X62" s="45"/>
      <c r="Y62" s="29"/>
      <c r="Z62" s="46" t="str">
        <f t="shared" si="1"/>
        <v/>
      </c>
      <c r="AA62" s="46" t="str">
        <f t="shared" si="2"/>
        <v/>
      </c>
      <c r="AB62" s="47" t="str">
        <f t="shared" si="3"/>
        <v/>
      </c>
      <c r="AC62" s="47" t="str">
        <f t="shared" si="4"/>
        <v/>
      </c>
      <c r="AD62" s="48" t="str">
        <f t="shared" si="5"/>
        <v/>
      </c>
      <c r="AE62" s="46" t="str">
        <f t="shared" si="6"/>
        <v/>
      </c>
      <c r="AF62" s="49"/>
    </row>
    <row r="63" ht="21.75" customHeight="1">
      <c r="A63" s="29">
        <v>58.0</v>
      </c>
      <c r="B63" s="29"/>
      <c r="C63" s="29"/>
      <c r="D63" s="29"/>
      <c r="E63" s="29"/>
      <c r="F63" s="29"/>
      <c r="G63" s="29"/>
      <c r="H63" s="29"/>
      <c r="I63" s="29"/>
      <c r="J63" s="29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31"/>
      <c r="W63" s="29"/>
      <c r="X63" s="45"/>
      <c r="Y63" s="29"/>
      <c r="Z63" s="46" t="str">
        <f t="shared" si="1"/>
        <v/>
      </c>
      <c r="AA63" s="46" t="str">
        <f t="shared" si="2"/>
        <v/>
      </c>
      <c r="AB63" s="47" t="str">
        <f t="shared" si="3"/>
        <v/>
      </c>
      <c r="AC63" s="47" t="str">
        <f t="shared" si="4"/>
        <v/>
      </c>
      <c r="AD63" s="48" t="str">
        <f t="shared" si="5"/>
        <v/>
      </c>
      <c r="AE63" s="46" t="str">
        <f t="shared" si="6"/>
        <v/>
      </c>
      <c r="AF63" s="49"/>
    </row>
    <row r="64" ht="21.75" customHeight="1">
      <c r="A64" s="29">
        <v>59.0</v>
      </c>
      <c r="B64" s="29"/>
      <c r="C64" s="29"/>
      <c r="D64" s="29"/>
      <c r="E64" s="29"/>
      <c r="F64" s="29"/>
      <c r="G64" s="29"/>
      <c r="H64" s="29"/>
      <c r="I64" s="29"/>
      <c r="J64" s="29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31"/>
      <c r="W64" s="29"/>
      <c r="X64" s="45"/>
      <c r="Y64" s="29"/>
      <c r="Z64" s="46" t="str">
        <f t="shared" si="1"/>
        <v/>
      </c>
      <c r="AA64" s="46" t="str">
        <f t="shared" si="2"/>
        <v/>
      </c>
      <c r="AB64" s="47" t="str">
        <f t="shared" si="3"/>
        <v/>
      </c>
      <c r="AC64" s="47" t="str">
        <f t="shared" si="4"/>
        <v/>
      </c>
      <c r="AD64" s="48" t="str">
        <f t="shared" si="5"/>
        <v/>
      </c>
      <c r="AE64" s="46" t="str">
        <f t="shared" si="6"/>
        <v/>
      </c>
      <c r="AF64" s="49"/>
    </row>
    <row r="65" ht="21.75" customHeight="1">
      <c r="A65" s="29">
        <v>60.0</v>
      </c>
      <c r="B65" s="29"/>
      <c r="C65" s="29"/>
      <c r="D65" s="29"/>
      <c r="E65" s="29"/>
      <c r="F65" s="29"/>
      <c r="G65" s="29"/>
      <c r="H65" s="29"/>
      <c r="I65" s="29"/>
      <c r="J65" s="29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31"/>
      <c r="W65" s="29"/>
      <c r="X65" s="45"/>
      <c r="Y65" s="29"/>
      <c r="Z65" s="46" t="str">
        <f t="shared" si="1"/>
        <v/>
      </c>
      <c r="AA65" s="46" t="str">
        <f t="shared" si="2"/>
        <v/>
      </c>
      <c r="AB65" s="47" t="str">
        <f t="shared" si="3"/>
        <v/>
      </c>
      <c r="AC65" s="47" t="str">
        <f t="shared" si="4"/>
        <v/>
      </c>
      <c r="AD65" s="48" t="str">
        <f t="shared" si="5"/>
        <v/>
      </c>
      <c r="AE65" s="46" t="str">
        <f t="shared" si="6"/>
        <v/>
      </c>
      <c r="AF65" s="4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F2"/>
    <mergeCell ref="A3:AF3"/>
  </mergeCells>
  <conditionalFormatting sqref="AB6:AB65">
    <cfRule type="expression" dxfId="0" priority="1">
      <formula>AB6&gt;0.1</formula>
    </cfRule>
  </conditionalFormatting>
  <conditionalFormatting sqref="AC6:AC65">
    <cfRule type="expression" dxfId="0" priority="2">
      <formula>AC6&lt;1.05</formula>
    </cfRule>
  </conditionalFormatting>
  <conditionalFormatting sqref="AF6:AF65">
    <cfRule type="expression" dxfId="1" priority="3">
      <formula>AF6="Missing required fields"</formula>
    </cfRule>
  </conditionalFormatting>
  <dataValidations>
    <dataValidation type="list" allowBlank="1" sqref="E6:E65">
      <formula1>Lists!$C$1:$C$4</formula1>
    </dataValidation>
    <dataValidation type="list" allowBlank="1" sqref="D6:D65">
      <formula1>Lists!$B$1:$B$7</formula1>
    </dataValidation>
    <dataValidation type="list" allowBlank="1" sqref="F6:F65">
      <formula1>Lists!$D$1:$D$7</formula1>
    </dataValidation>
    <dataValidation type="list" allowBlank="1" sqref="G6:G65">
      <formula1>Lists!$E$1:$E$5</formula1>
    </dataValidation>
    <dataValidation type="list" allowBlank="1" sqref="H6:H65 W6:W65">
      <formula1>Lists!$F$1:$F$2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6" width="18.0"/>
    <col customWidth="1" min="7" max="7" width="8.86"/>
    <col customWidth="1" min="8" max="8" width="118.29"/>
    <col customWidth="1" min="9" max="26" width="8.86"/>
  </cols>
  <sheetData>
    <row r="1">
      <c r="A1" s="50" t="s">
        <v>132</v>
      </c>
    </row>
    <row r="3">
      <c r="A3" s="22"/>
      <c r="B3" s="22"/>
      <c r="C3" s="22"/>
      <c r="D3" s="22"/>
      <c r="E3" s="22"/>
      <c r="F3" s="22"/>
    </row>
    <row r="4" ht="15.75" customHeight="1">
      <c r="A4" s="11" t="s">
        <v>133</v>
      </c>
      <c r="B4" s="12"/>
      <c r="C4" s="12"/>
      <c r="D4" s="12"/>
      <c r="E4" s="12"/>
      <c r="F4" s="13"/>
      <c r="H4" s="51"/>
    </row>
    <row r="5">
      <c r="A5" s="25" t="s">
        <v>47</v>
      </c>
      <c r="B5" s="39" t="str">
        <f>IF('Organization Intake'!B6="","",'Organization Intake'!B6)</f>
        <v>Ex-CEO-001</v>
      </c>
      <c r="C5" s="20"/>
      <c r="D5" s="20"/>
      <c r="E5" s="20"/>
      <c r="F5" s="21"/>
      <c r="H5" s="51"/>
    </row>
    <row r="6">
      <c r="A6" s="25" t="s">
        <v>49</v>
      </c>
      <c r="B6" s="39" t="str">
        <f>IF('Organization Intake'!D6="","",'Organization Intake'!D6)</f>
        <v>Example MEdical Center</v>
      </c>
      <c r="C6" s="20"/>
      <c r="D6" s="20"/>
      <c r="E6" s="20"/>
      <c r="F6" s="21"/>
      <c r="H6" s="51"/>
    </row>
    <row r="7">
      <c r="A7" s="25" t="s">
        <v>134</v>
      </c>
      <c r="B7" s="39" t="str">
        <f>IF('Organization Intake'!F6="","",'Organization Intake'!F6)</f>
        <v>Hospital</v>
      </c>
      <c r="C7" s="20"/>
      <c r="D7" s="20"/>
      <c r="E7" s="20"/>
      <c r="F7" s="21"/>
      <c r="H7" s="51"/>
    </row>
    <row r="8">
      <c r="A8" s="25" t="s">
        <v>135</v>
      </c>
      <c r="B8" s="39" t="str">
        <f>IF('Organization Intake'!B12="","",'Organization Intake'!B12)</f>
        <v/>
      </c>
      <c r="C8" s="20"/>
      <c r="D8" s="20"/>
      <c r="E8" s="20"/>
      <c r="F8" s="21"/>
      <c r="H8" s="51"/>
    </row>
    <row r="9">
      <c r="A9" s="22"/>
      <c r="B9" s="22"/>
      <c r="C9" s="22"/>
      <c r="D9" s="22"/>
      <c r="E9" s="22"/>
      <c r="F9" s="22"/>
    </row>
    <row r="10">
      <c r="A10" s="22"/>
      <c r="B10" s="22"/>
      <c r="C10" s="22"/>
      <c r="D10" s="22"/>
      <c r="E10" s="22"/>
      <c r="F10" s="22"/>
    </row>
    <row r="11">
      <c r="A11" s="11" t="s">
        <v>136</v>
      </c>
      <c r="B11" s="12"/>
      <c r="C11" s="12"/>
      <c r="D11" s="12"/>
      <c r="E11" s="12"/>
      <c r="F11" s="13"/>
    </row>
    <row r="12">
      <c r="A12" s="25" t="s">
        <v>137</v>
      </c>
      <c r="B12" s="46">
        <f>IF(COUNTA('Trip Demand Input'!B6:V65)=0,"",SUM('Trip Demand Input'!L6:L65))</f>
        <v>18</v>
      </c>
      <c r="C12" s="22"/>
      <c r="D12" s="22"/>
      <c r="E12" s="22"/>
      <c r="F12" s="22"/>
    </row>
    <row r="13">
      <c r="A13" s="25" t="s">
        <v>138</v>
      </c>
      <c r="B13" s="46">
        <f>IF(COUNTA('Trip Demand Input'!B6:V65)=0,"",SUM('Trip Demand Input'!M6:M65))</f>
        <v>2</v>
      </c>
      <c r="C13" s="22"/>
      <c r="D13" s="22"/>
      <c r="E13" s="22"/>
      <c r="F13" s="22"/>
    </row>
    <row r="14">
      <c r="A14" s="25" t="s">
        <v>139</v>
      </c>
      <c r="B14" s="46">
        <f>IF(COUNTA('Trip Demand Input'!B6:V65)=0,"",SUM('Trip Demand Input'!N6:N65))</f>
        <v>1</v>
      </c>
      <c r="C14" s="22"/>
      <c r="D14" s="22"/>
      <c r="E14" s="22"/>
      <c r="F14" s="22"/>
    </row>
    <row r="15">
      <c r="A15" s="25" t="s">
        <v>140</v>
      </c>
      <c r="B15" s="46">
        <f>IF(B12="","",B12+B13)</f>
        <v>20</v>
      </c>
      <c r="C15" s="22"/>
      <c r="D15" s="22"/>
      <c r="E15" s="22"/>
      <c r="F15" s="22"/>
    </row>
    <row r="16">
      <c r="A16" s="25" t="s">
        <v>141</v>
      </c>
      <c r="B16" s="47">
        <f>IF(B12=0,"",SUMIF('Trip Demand Input'!E6:E65,"Quality",'Trip Demand Input'!L6:L65)/B12)</f>
        <v>1</v>
      </c>
      <c r="C16" s="22"/>
      <c r="D16" s="22"/>
      <c r="E16" s="22"/>
      <c r="F16" s="22"/>
    </row>
    <row r="17">
      <c r="A17" s="25" t="s">
        <v>142</v>
      </c>
      <c r="B17" s="47">
        <f>IF(B12=0,"",(SUMIF('Trip Demand Input'!E6:E65,"Broker",'Trip Demand Input'!L6:L65)+SUMIF('Trip Demand Input'!E6:E65,"Filler",'Trip Demand Input'!L6:L65))/B12)</f>
        <v>0</v>
      </c>
      <c r="C17" s="22"/>
      <c r="D17" s="22"/>
      <c r="E17" s="22"/>
      <c r="F17" s="22"/>
    </row>
    <row r="18">
      <c r="A18" s="25" t="s">
        <v>29</v>
      </c>
      <c r="B18" s="47">
        <f>IF(B12=0,"",SUM('Trip Demand Input'!AE6:AE65)/B12)</f>
        <v>0</v>
      </c>
      <c r="C18" s="22"/>
      <c r="D18" s="22"/>
      <c r="E18" s="22"/>
      <c r="F18" s="22"/>
    </row>
    <row r="19">
      <c r="A19" s="25" t="s">
        <v>143</v>
      </c>
      <c r="B19" s="48">
        <f>IF(B12=0,"",SUMPRODUCT('Trip Demand Input'!L6:L65,'Trip Demand Input'!V6:V65)/B12)</f>
        <v>200</v>
      </c>
      <c r="C19" s="22"/>
      <c r="D19" s="22"/>
      <c r="E19" s="22"/>
      <c r="F19" s="22"/>
    </row>
    <row r="20">
      <c r="A20" s="25" t="s">
        <v>144</v>
      </c>
      <c r="B20" s="47">
        <f>IF(SUM(B12:B14)=0,"",B14/SUM(B12:B14))</f>
        <v>0.04761904762</v>
      </c>
      <c r="C20" s="22"/>
      <c r="D20" s="22"/>
      <c r="E20" s="22"/>
      <c r="F20" s="22"/>
    </row>
    <row r="21" ht="15.75" customHeight="1">
      <c r="A21" s="25" t="s">
        <v>145</v>
      </c>
      <c r="B21" s="48" t="str">
        <f>IF(COUNTA('Trip Demand Input'!B6:V65)=0,"",SUM('Trip Demand Input'!AD6:AD65))</f>
        <v>#REF!</v>
      </c>
      <c r="C21" s="22"/>
      <c r="D21" s="22"/>
      <c r="E21" s="22"/>
      <c r="F21" s="22"/>
    </row>
    <row r="22" ht="15.75" customHeight="1">
      <c r="A22" s="22"/>
      <c r="B22" s="22"/>
      <c r="C22" s="22"/>
      <c r="D22" s="22"/>
      <c r="E22" s="22"/>
      <c r="F22" s="22"/>
    </row>
    <row r="23" ht="15.75" customHeight="1">
      <c r="A23" s="22"/>
      <c r="B23" s="22"/>
      <c r="C23" s="22"/>
      <c r="D23" s="22"/>
      <c r="E23" s="22"/>
      <c r="F23" s="22"/>
    </row>
    <row r="24" ht="15.75" customHeight="1">
      <c r="A24" s="11" t="s">
        <v>146</v>
      </c>
      <c r="B24" s="12"/>
      <c r="C24" s="12"/>
      <c r="D24" s="12"/>
      <c r="E24" s="12"/>
      <c r="F24" s="13"/>
    </row>
    <row r="25" ht="15.75" customHeight="1">
      <c r="A25" s="25" t="s">
        <v>147</v>
      </c>
      <c r="B25" s="49" t="str">
        <f>IF(B16="","",IF(B16&gt;=0.9,"Pass","Review"))</f>
        <v>Pass</v>
      </c>
      <c r="C25" s="22"/>
      <c r="D25" s="22"/>
      <c r="E25" s="22"/>
      <c r="F25" s="22"/>
    </row>
    <row r="26" ht="15.75" customHeight="1">
      <c r="A26" s="25" t="s">
        <v>148</v>
      </c>
      <c r="B26" s="49" t="str">
        <f>IF(B17="","",IF(B17&gt;=0.3,"Pass","Review"))</f>
        <v>Review</v>
      </c>
      <c r="C26" s="22"/>
      <c r="D26" s="22"/>
      <c r="E26" s="22"/>
      <c r="F26" s="22"/>
    </row>
    <row r="27" ht="15.75" customHeight="1">
      <c r="A27" s="25" t="s">
        <v>149</v>
      </c>
      <c r="B27" s="49" t="str">
        <f>IF(B18="","",IF(B18&gt;=0.05,"Pass","Review"))</f>
        <v>Review</v>
      </c>
      <c r="C27" s="22"/>
      <c r="D27" s="22"/>
      <c r="E27" s="22"/>
      <c r="F27" s="22"/>
    </row>
    <row r="28" ht="15.75" customHeight="1">
      <c r="A28" s="25" t="s">
        <v>150</v>
      </c>
      <c r="B28" s="49" t="str">
        <f>IF(B20="","",IF(B20&lt;0.1,"Pass","Review"))</f>
        <v>Pass</v>
      </c>
      <c r="C28" s="22"/>
      <c r="D28" s="22"/>
      <c r="E28" s="22"/>
      <c r="F28" s="22"/>
    </row>
    <row r="29" ht="15.75" customHeight="1">
      <c r="A29" s="22"/>
      <c r="B29" s="22"/>
      <c r="C29" s="22"/>
      <c r="D29" s="22"/>
      <c r="E29" s="22"/>
      <c r="F29" s="22"/>
    </row>
    <row r="30" ht="15.75" customHeight="1">
      <c r="A30" s="22"/>
      <c r="B30" s="22"/>
      <c r="C30" s="22"/>
      <c r="D30" s="22"/>
      <c r="E30" s="22"/>
      <c r="F30" s="22"/>
    </row>
    <row r="31" ht="15.75" customHeight="1">
      <c r="A31" s="52" t="s">
        <v>151</v>
      </c>
      <c r="B31" s="53" t="s">
        <v>152</v>
      </c>
      <c r="C31" s="17"/>
      <c r="D31" s="17"/>
      <c r="E31" s="17"/>
      <c r="F31" s="34"/>
    </row>
    <row r="32" ht="15.75" customHeight="1">
      <c r="A32" s="22"/>
      <c r="B32" s="35"/>
      <c r="F32" s="36"/>
    </row>
    <row r="33" ht="15.75" customHeight="1">
      <c r="A33" s="22"/>
      <c r="B33" s="37"/>
      <c r="C33" s="15"/>
      <c r="D33" s="15"/>
      <c r="E33" s="15"/>
      <c r="F33" s="3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4:F24"/>
    <mergeCell ref="B31:F33"/>
    <mergeCell ref="A1:F2"/>
    <mergeCell ref="A4:F4"/>
    <mergeCell ref="B5:F5"/>
    <mergeCell ref="B6:F6"/>
    <mergeCell ref="B7:F7"/>
    <mergeCell ref="B8:F8"/>
    <mergeCell ref="A11:F1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6.14"/>
    <col customWidth="1" min="3" max="3" width="7.29"/>
    <col customWidth="1" min="4" max="4" width="21.0"/>
    <col customWidth="1" min="5" max="5" width="18.86"/>
    <col customWidth="1" min="6" max="6" width="3.86"/>
    <col customWidth="1" min="7" max="7" width="9.29"/>
    <col customWidth="1" min="8" max="8" width="18.71"/>
    <col customWidth="1" min="9" max="26" width="8.86"/>
  </cols>
  <sheetData>
    <row r="1">
      <c r="A1" s="54" t="s">
        <v>52</v>
      </c>
      <c r="B1" s="54" t="s">
        <v>52</v>
      </c>
      <c r="C1" s="54" t="s">
        <v>128</v>
      </c>
      <c r="D1" s="54" t="s">
        <v>129</v>
      </c>
      <c r="E1" s="54" t="s">
        <v>153</v>
      </c>
      <c r="F1" s="54" t="s">
        <v>154</v>
      </c>
      <c r="G1" s="54" t="s">
        <v>155</v>
      </c>
      <c r="H1" s="54" t="s">
        <v>156</v>
      </c>
    </row>
    <row r="2">
      <c r="A2" s="54" t="s">
        <v>157</v>
      </c>
      <c r="B2" s="54" t="s">
        <v>158</v>
      </c>
      <c r="C2" s="54" t="s">
        <v>159</v>
      </c>
      <c r="D2" s="54" t="s">
        <v>160</v>
      </c>
      <c r="E2" s="54" t="s">
        <v>130</v>
      </c>
      <c r="F2" s="54" t="s">
        <v>131</v>
      </c>
      <c r="G2" s="54" t="s">
        <v>161</v>
      </c>
      <c r="H2" s="54" t="s">
        <v>162</v>
      </c>
    </row>
    <row r="3">
      <c r="A3" s="54" t="s">
        <v>162</v>
      </c>
      <c r="B3" s="54" t="s">
        <v>163</v>
      </c>
      <c r="C3" s="54" t="s">
        <v>163</v>
      </c>
      <c r="D3" s="54" t="s">
        <v>164</v>
      </c>
      <c r="E3" s="54" t="s">
        <v>165</v>
      </c>
      <c r="G3" s="54" t="s">
        <v>166</v>
      </c>
      <c r="H3" s="54" t="s">
        <v>163</v>
      </c>
    </row>
    <row r="4">
      <c r="A4" s="54" t="s">
        <v>163</v>
      </c>
      <c r="B4" s="54" t="s">
        <v>162</v>
      </c>
      <c r="C4" s="54" t="s">
        <v>167</v>
      </c>
      <c r="D4" s="54" t="s">
        <v>168</v>
      </c>
      <c r="E4" s="54" t="s">
        <v>169</v>
      </c>
      <c r="G4" s="54" t="s">
        <v>170</v>
      </c>
      <c r="H4" s="54" t="s">
        <v>171</v>
      </c>
    </row>
    <row r="5">
      <c r="A5" s="54" t="s">
        <v>172</v>
      </c>
      <c r="B5" s="54" t="s">
        <v>173</v>
      </c>
      <c r="D5" s="54" t="s">
        <v>174</v>
      </c>
      <c r="E5" s="54" t="s">
        <v>167</v>
      </c>
      <c r="G5" s="54" t="s">
        <v>167</v>
      </c>
      <c r="H5" s="54" t="s">
        <v>167</v>
      </c>
    </row>
    <row r="6">
      <c r="A6" s="54" t="s">
        <v>174</v>
      </c>
      <c r="B6" s="54" t="s">
        <v>174</v>
      </c>
      <c r="D6" s="54" t="s">
        <v>171</v>
      </c>
    </row>
    <row r="7">
      <c r="A7" s="54" t="s">
        <v>167</v>
      </c>
      <c r="B7" s="54" t="s">
        <v>167</v>
      </c>
      <c r="D7" s="54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2026-03-18T13:26:53Z</dcterms:created>
</cp:coreProperties>
</file>